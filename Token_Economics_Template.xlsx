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5.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_rels/workbook.xml.rels" ContentType="application/vnd.openxmlformats-package.relationships+xml"/>
  <Override PartName="/xl/media/image1.png" ContentType="image/png"/>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Detailed Model Guide" sheetId="2" state="visible" r:id="rId4"/>
    <sheet name="Rate Card" sheetId="3" state="visible" r:id="rId5"/>
    <sheet name="Platform Costs" sheetId="4" state="visible" r:id="rId6"/>
    <sheet name="Use Cases" sheetId="5" state="visible" r:id="rId7"/>
    <sheet name="Calculator" sheetId="6" state="visible" r:id="rId8"/>
    <sheet name="Portfolio Summary" sheetId="7" state="visible" r:id="rId9"/>
    <sheet name="Sensitivity" sheetId="8" state="visible" r:id="rId10"/>
    <sheet name="Monthly Tracker" sheetId="9" state="visible" r:id="rId11"/>
    <sheet name="About" sheetId="10" state="visible" r:id="rId12"/>
  </sheets>
  <calcPr iterateCount="100" refMode="A1" iterate="false" iterateDelta="0.0001"/>
  <extLst>
    <ext xmlns:loext="http://schemas.libreoffice.org/" uri="{7626C862-2A13-11E5-B345-FEFF819CDC9F}">
      <loext:extCalcPr stringRefSyntax="ExcelA1"/>
    </ext>
  </extLst>
</workbook>
</file>

<file path=xl/comments5.xml><?xml version="1.0" encoding="utf-8"?>
<comments xmlns="http://schemas.openxmlformats.org/spreadsheetml/2006/main" xmlns:xdr="http://schemas.openxmlformats.org/drawingml/2006/spreadsheetDrawing">
  <authors>
    <author>Unknown Author</author>
  </authors>
  <commentList>
    <comment ref="E4" authorId="0">
      <text>
        <r>
          <rPr>
            <sz val="10"/>
            <rFont val="Arial"/>
            <family val="2"/>
          </rPr>
          <t xml:space="preserve">Agentic workflows call the model several times per task (plan, tool calls, verify). This multiplier is the most underestimated driver of cost.</t>
        </r>
      </text>
    </comment>
    <comment ref="F4" authorId="0">
      <text>
        <r>
          <rPr>
            <sz val="10"/>
            <rFont val="Arial"/>
            <family val="2"/>
          </rPr>
          <t xml:space="preserve">Everything sent per call: system prompt, retrieved context, conversation history, tool results. Grows with each agent step.</t>
        </r>
      </text>
    </comment>
    <comment ref="H4" authorId="0">
      <text>
        <r>
          <rPr>
            <sz val="10"/>
            <rFont val="Arial"/>
            <family val="2"/>
          </rPr>
          <t xml:space="preserve">Hidden thinking tokens, billed at the output rate. Read them from API usage metadata.</t>
        </r>
      </text>
    </comment>
    <comment ref="I4" authorId="0">
      <text>
        <r>
          <rPr>
            <sz val="10"/>
            <rFont val="Arial"/>
            <family val="2"/>
          </rPr>
          <t xml:space="preserve">Share of input tokens served from the prompt cache (stable system prompts, shared documents).</t>
        </r>
      </text>
    </comment>
    <comment ref="K4" authorId="0">
      <text>
        <r>
          <rPr>
            <sz val="10"/>
            <rFont val="Arial"/>
            <family val="2"/>
          </rPr>
          <t xml:space="preserve">Extra calls from retries, validation failures and user regenerations.</t>
        </r>
      </text>
    </comment>
    <comment ref="L4" authorId="0">
      <text>
        <r>
          <rPr>
            <sz val="10"/>
            <rFont val="Arial"/>
            <family val="2"/>
          </rPr>
          <t xml:space="preserve">Share of tasks accepted without a human redoing the work. Failed tasks are assumed to need the full baseline human effort.</t>
        </r>
      </text>
    </comment>
    <comment ref="P4" authorId="0">
      <text>
        <r>
          <rPr>
            <sz val="10"/>
            <rFont val="Arial"/>
            <family val="2"/>
          </rPr>
          <t xml:space="preserve">Share of the labor saving that becomes real value (released capacity, avoided hiring, faster cycle time). Use 100% only for hard savings you can evidence.</t>
        </r>
      </text>
    </comment>
  </commentList>
</comments>
</file>

<file path=xl/sharedStrings.xml><?xml version="1.0" encoding="utf-8"?>
<sst xmlns="http://schemas.openxmlformats.org/spreadsheetml/2006/main" count="314" uniqueCount="286">
  <si>
    <t xml:space="preserve">Is our GenAI use case paying for itself?</t>
  </si>
  <si>
    <t xml:space="preserve">Answer eight plain questions for each use case (blue cells). The results below update instantly. No token math needed.</t>
  </si>
  <si>
    <t xml:space="preserve">Pre-filled with an illustrative worked example. Figures and methodology are illustrative; see the About tab for the full disclaimer.</t>
  </si>
  <si>
    <t xml:space="preserve">Version 1.0 · October 2026</t>
  </si>
  <si>
    <t xml:space="preserve">Open for use and adaptation with attribution (CC BY 4.0). See the About tab.</t>
  </si>
  <si>
    <t xml:space="preserve">Question</t>
  </si>
  <si>
    <t xml:space="preserve">Use case 1</t>
  </si>
  <si>
    <t xml:space="preserve">Use case 2</t>
  </si>
  <si>
    <t xml:space="preserve">Use case 3</t>
  </si>
  <si>
    <t xml:space="preserve">Use case 4</t>
  </si>
  <si>
    <t xml:space="preserve">Use case 5</t>
  </si>
  <si>
    <t xml:space="preserve">Your guidance</t>
  </si>
  <si>
    <t xml:space="preserve">Use case name</t>
  </si>
  <si>
    <t xml:space="preserve">Customer service agent</t>
  </si>
  <si>
    <t xml:space="preserve">Contract clause extraction</t>
  </si>
  <si>
    <t xml:space="preserve">Invoice exception triage</t>
  </si>
  <si>
    <t xml:space="preserve">Internal knowledge assistant</t>
  </si>
  <si>
    <t xml:space="preserve">Any short label</t>
  </si>
  <si>
    <t xml:space="preserve">How many tasks does it handle a month?</t>
  </si>
  <si>
    <t xml:space="preserve">Tickets, contracts, invoices, queries</t>
  </si>
  <si>
    <t xml:space="preserve">How many minutes does a person take per task today?</t>
  </si>
  <si>
    <t xml:space="preserve">Average time without AI</t>
  </si>
  <si>
    <t xml:space="preserve">What does an hour of that person's time cost? ($)</t>
  </si>
  <si>
    <t xml:space="preserve">Fully loaded, salary plus overheads</t>
  </si>
  <si>
    <t xml:space="preserve">What share of tasks does the AI get right without rework?</t>
  </si>
  <si>
    <t xml:space="preserve">From a test set or QA sample. Failed tasks go back to a person</t>
  </si>
  <si>
    <t xml:space="preserve">How many minutes does a person spend checking each AI output?</t>
  </si>
  <si>
    <t xml:space="preserve">Review time on the tasks AI completes</t>
  </si>
  <si>
    <t xml:space="preserve">What does the AI cost per task? ($)</t>
  </si>
  <si>
    <t xml:space="preserve">Ask your IT or AI team. Don't know? Leave blank and fill rows 13-14 instead</t>
  </si>
  <si>
    <t xml:space="preserve">   If unknown: how big is each task?</t>
  </si>
  <si>
    <t xml:space="preserve">Light: short Q&amp;A or classification · Medium: a multi-step conversation · Heavy: long documents</t>
  </si>
  <si>
    <t xml:space="preserve">   If unknown: which model class?</t>
  </si>
  <si>
    <t xml:space="preserve">Economy, Standard or Premium</t>
  </si>
  <si>
    <t xml:space="preserve">Monthly platform and team cost carried by this use case ($)</t>
  </si>
  <si>
    <t xml:space="preserve">Its share of gateway, monitoring, engineers. Total in example: $45,000</t>
  </si>
  <si>
    <t xml:space="preserve">How much of the time saved turns into real savings?</t>
  </si>
  <si>
    <t xml:space="preserve">100% = fewer hires or contractors · 50% = partly redeployed · 25% = soft time savings</t>
  </si>
  <si>
    <t xml:space="preserve">Results</t>
  </si>
  <si>
    <t xml:space="preserve">Cost per task today, without AI</t>
  </si>
  <si>
    <t xml:space="preserve">AI cost per task used</t>
  </si>
  <si>
    <t xml:space="preserve">AI cost per successful task, including platform</t>
  </si>
  <si>
    <t xml:space="preserve">Portfolio total →</t>
  </si>
  <si>
    <t xml:space="preserve">Net value per month</t>
  </si>
  <si>
    <t xml:space="preserve">Net value per year</t>
  </si>
  <si>
    <t xml:space="preserve">Return per $1 of AI spend</t>
  </si>
  <si>
    <t xml:space="preserve">Lowest success rate at which it still pays</t>
  </si>
  <si>
    <t xml:space="preserve">Value lost per month if success drops 10 points</t>
  </si>
  <si>
    <t xml:space="preserve">Verdict</t>
  </si>
  <si>
    <t xml:space="preserve">How to read this</t>
  </si>
  <si>
    <t xml:space="preserve">· Compare 'AI cost per successful task' with 'Cost per task today'. The gap, after review time and failures, is the value.</t>
  </si>
  <si>
    <t xml:space="preserve">· 'Lowest success rate' shows how much quality headroom you have. A small gap between it and today's rate is a risk worth monitoring.</t>
  </si>
  <si>
    <t xml:space="preserve">· 'Value lost if success drops 10 points' is usually far larger than any vendor price change. Protect quality before negotiating price.</t>
  </si>
  <si>
    <t xml:space="preserve">Technical teams can refine every assumption in the Detailed Model tabs (Rate Card onward).</t>
  </si>
  <si>
    <t xml:space="preserve">Reference: typical AI cost per task when unknown (from the Rate Card tab)</t>
  </si>
  <si>
    <t xml:space="preserve">Size</t>
  </si>
  <si>
    <t xml:space="preserve">Tokens per task</t>
  </si>
  <si>
    <t xml:space="preserve">Economy</t>
  </si>
  <si>
    <t xml:space="preserve">Standard</t>
  </si>
  <si>
    <t xml:space="preserve">Premium</t>
  </si>
  <si>
    <t xml:space="preserve">Light</t>
  </si>
  <si>
    <t xml:space="preserve">Medium</t>
  </si>
  <si>
    <t xml:space="preserve">Heavy</t>
  </si>
  <si>
    <t xml:space="preserve">Assumes 85% of tokens are input (40% of them cached) and 15% output. Batch processing would halve these.</t>
  </si>
  <si>
    <t xml:space="preserve">Detailed Model (for finance and technical teams)</t>
  </si>
  <si>
    <t xml:space="preserve">Purpose</t>
  </si>
  <si>
    <t xml:space="preserve">Measure what GenAI actually costs per unit of business work, and whether that work is worth it. The template moves from list price per million tokens to cost per task, cost per successful outcome, and net value per task, for every production use case.</t>
  </si>
  <si>
    <t xml:space="preserve">Worked example</t>
  </si>
  <si>
    <t xml:space="preserve">Pre-filled with a fictional 12,000-employee financial services firm running four use cases. All figures are illustrative. Replace them with your own telemetry and contracted rates.</t>
  </si>
  <si>
    <t xml:space="preserve">How to use</t>
  </si>
  <si>
    <t xml:space="preserve">1) Rate Card: enter your contracted price per million tokens for each model tier.  2) Platform Costs: enter fixed monthly run costs (gateway, observability, evaluation, retrieval, engineering).  3) Use Cases: one row per production use case; edit only the blue cells.  4) Read Calculator, Portfolio Summary and Sensitivity.  5) Track actuals monthly in Monthly Tracker.</t>
  </si>
  <si>
    <t xml:space="preserve">Color legend</t>
  </si>
  <si>
    <t xml:space="preserve">Blue text = input you may change. Black = formula, do not overwrite. Green = pulled from another sheet. Yellow fill = key assumption worth validating with data.</t>
  </si>
  <si>
    <t xml:space="preserve">Core formula</t>
  </si>
  <si>
    <t xml:space="preserve">Token cost per call = [uncached input × input rate + cached input × cached rate + (output + reasoning) × output rate] ÷ 1,000,000 × batch factor. Cost per task = cost per call × calls per task × (1 + retry overhead).</t>
  </si>
  <si>
    <t xml:space="preserve">Value logic</t>
  </si>
  <si>
    <t xml:space="preserve">Baseline cost per task = baseline human minutes × loaded labor rate. AI-path human cost = review minutes + (failed share × full baseline minutes). Net value per task = (baseline − residual human cost) × value realization − fully loaded AI cost per task.</t>
  </si>
  <si>
    <t xml:space="preserve">Allocation</t>
  </si>
  <si>
    <t xml:space="preserve">Shared platform costs are allocated to use cases in proportion to token spend. Swap to task count or direct attribution if that better reflects how your platform is consumed.</t>
  </si>
  <si>
    <t xml:space="preserve">Not modeled</t>
  </si>
  <si>
    <t xml:space="preserve">Cache-write premiums, long-context price tiers, provisioned-throughput or committed-use discounts, fine-tuning, embedding and tool-call fees, and FX. Add rows to Platform Costs or adjust rates if they are material for you.</t>
  </si>
  <si>
    <t xml:space="preserve">Prices</t>
  </si>
  <si>
    <t xml:space="preserve">Rate Card values are illustrative tiers in the range of 2026 public list prices for frontier, mid and small models. They are not quotes from any vendor.</t>
  </si>
  <si>
    <t xml:space="preserve">Rate Card (USD per 1M tokens)</t>
  </si>
  <si>
    <t xml:space="preserve">Illustrative tiers. Replace with your contracted rates, including any committed-use discount.</t>
  </si>
  <si>
    <t xml:space="preserve">Model tier</t>
  </si>
  <si>
    <t xml:space="preserve">Input $/1M</t>
  </si>
  <si>
    <t xml:space="preserve">Cached input $/1M</t>
  </si>
  <si>
    <t xml:space="preserve">Output $/1M (incl. reasoning)</t>
  </si>
  <si>
    <t xml:space="preserve">Typical use</t>
  </si>
  <si>
    <t xml:space="preserve">Frontier</t>
  </si>
  <si>
    <t xml:space="preserve">Complex reasoning, long documents, high-stakes judgment</t>
  </si>
  <si>
    <t xml:space="preserve">Mid</t>
  </si>
  <si>
    <t xml:space="preserve">Agents, RAG assistants, most production workloads</t>
  </si>
  <si>
    <t xml:space="preserve">Small</t>
  </si>
  <si>
    <t xml:space="preserve">Classification, routing, extraction, triage</t>
  </si>
  <si>
    <t xml:space="preserve">Batch discount</t>
  </si>
  <si>
    <t xml:space="preserve">Discount on calls run through an asynchronous batch API</t>
  </si>
  <si>
    <t xml:space="preserve">Cached input is typically ~10% of the input rate; output usually costs 4-6x input. Reasoning tokens are billed at the output rate even though users never see them.</t>
  </si>
  <si>
    <t xml:space="preserve">Shared Platform Run Costs (USD per month)</t>
  </si>
  <si>
    <t xml:space="preserve">Fixed costs that exist whether or not a single token is consumed. Allocated to use cases in proportion to token spend.</t>
  </si>
  <si>
    <t xml:space="preserve">Cost line</t>
  </si>
  <si>
    <t xml:space="preserve">Monthly cost $</t>
  </si>
  <si>
    <t xml:space="preserve">Notes</t>
  </si>
  <si>
    <t xml:space="preserve">LLM gateway and observability</t>
  </si>
  <si>
    <t xml:space="preserve">Routing, rate limiting, logging, per-request cost telemetry</t>
  </si>
  <si>
    <t xml:space="preserve">Evaluation and guardrails</t>
  </si>
  <si>
    <t xml:space="preserve">Eval harness, red-teaming, PII and policy filters</t>
  </si>
  <si>
    <t xml:space="preserve">Retrieval infrastructure</t>
  </si>
  <si>
    <t xml:space="preserve">Vector store, embeddings refresh, document pipelines</t>
  </si>
  <si>
    <t xml:space="preserve">Engineering and MLOps (2 FTE, loaded)</t>
  </si>
  <si>
    <t xml:space="preserve">Prompt maintenance, model upgrades, incident response</t>
  </si>
  <si>
    <t xml:space="preserve">Other (add your own)</t>
  </si>
  <si>
    <t xml:space="preserve">Total platform cost</t>
  </si>
  <si>
    <t xml:space="preserve">Use Case Inputs (one row per production use case)</t>
  </si>
  <si>
    <t xml:space="preserve">Worked example: fictional financial services firm. Edit blue cells; rows 9-12 are free for your own use cases.</t>
  </si>
  <si>
    <t xml:space="preserve">Use case</t>
  </si>
  <si>
    <t xml:space="preserve">Business function</t>
  </si>
  <si>
    <t xml:space="preserve">Monthly tasks</t>
  </si>
  <si>
    <t xml:space="preserve">Model calls per task</t>
  </si>
  <si>
    <t xml:space="preserve">Avg input tokens per call</t>
  </si>
  <si>
    <t xml:space="preserve">Avg output tokens per call</t>
  </si>
  <si>
    <t xml:space="preserve">Avg reasoning tokens per call</t>
  </si>
  <si>
    <t xml:space="preserve">Cached share of input</t>
  </si>
  <si>
    <t xml:space="preserve">Batch share of calls</t>
  </si>
  <si>
    <t xml:space="preserve">Retry / rework overhead</t>
  </si>
  <si>
    <t xml:space="preserve">Task success rate</t>
  </si>
  <si>
    <t xml:space="preserve">Human review min per task</t>
  </si>
  <si>
    <t xml:space="preserve">Baseline human min per task</t>
  </si>
  <si>
    <t xml:space="preserve">Loaded labor cost $/hour</t>
  </si>
  <si>
    <t xml:space="preserve">Value realization</t>
  </si>
  <si>
    <t xml:space="preserve">Value type</t>
  </si>
  <si>
    <t xml:space="preserve">Client servicing</t>
  </si>
  <si>
    <t xml:space="preserve">Hard: deflected handle time</t>
  </si>
  <si>
    <t xml:space="preserve">Procurement / Legal</t>
  </si>
  <si>
    <t xml:space="preserve">Hard: review hours</t>
  </si>
  <si>
    <t xml:space="preserve">Accounts payable</t>
  </si>
  <si>
    <t xml:space="preserve">Hard: AP processing time</t>
  </si>
  <si>
    <t xml:space="preserve">HR / IT policy Q&amp;A</t>
  </si>
  <si>
    <t xml:space="preserve">Soft: time saved searching</t>
  </si>
  <si>
    <t xml:space="preserve">Hover over header cells with a red corner for definitions. Token counts should come from API usage metadata or gateway logs, not estimates from word counts.</t>
  </si>
  <si>
    <t xml:space="preserve">Calculator (all formulas, do not edit)</t>
  </si>
  <si>
    <t xml:space="preserve">Monthly view per use case. Costs in USD.</t>
  </si>
  <si>
    <t xml:space="preserve">Effective calls / month</t>
  </si>
  <si>
    <t xml:space="preserve">Input tokens / month (M)</t>
  </si>
  <si>
    <t xml:space="preserve">Output + reasoning tokens / month (M)</t>
  </si>
  <si>
    <t xml:space="preserve">Batch factor</t>
  </si>
  <si>
    <t xml:space="preserve">Uncached input cost $</t>
  </si>
  <si>
    <t xml:space="preserve">Cached input cost $</t>
  </si>
  <si>
    <t xml:space="preserve">Output cost $</t>
  </si>
  <si>
    <t xml:space="preserve">Token cost $ / month</t>
  </si>
  <si>
    <t xml:space="preserve">Allocated platform $</t>
  </si>
  <si>
    <t xml:space="preserve">Total AI run cost $</t>
  </si>
  <si>
    <t xml:space="preserve">Token cost per task $</t>
  </si>
  <si>
    <t xml:space="preserve">AI cost per task (fully loaded) $</t>
  </si>
  <si>
    <t xml:space="preserve">AI cost per successful task $</t>
  </si>
  <si>
    <t xml:space="preserve">Residual human cost per task $</t>
  </si>
  <si>
    <t xml:space="preserve">Baseline cost per task $</t>
  </si>
  <si>
    <t xml:space="preserve">Labor saving per task $</t>
  </si>
  <si>
    <t xml:space="preserve">Realized saving per task $</t>
  </si>
  <si>
    <t xml:space="preserve">Net value per task $</t>
  </si>
  <si>
    <t xml:space="preserve">Net value $ / month</t>
  </si>
  <si>
    <t xml:space="preserve">ROI on AI run cost</t>
  </si>
  <si>
    <t xml:space="preserve">Break-even token cost per task $</t>
  </si>
  <si>
    <t xml:space="preserve">Token cost headroom</t>
  </si>
  <si>
    <t xml:space="preserve">Tokens per task (k)</t>
  </si>
  <si>
    <t xml:space="preserve">Output share of token cost</t>
  </si>
  <si>
    <t xml:space="preserve">Realized saving $ / month</t>
  </si>
  <si>
    <t xml:space="preserve">Portfolio total</t>
  </si>
  <si>
    <t xml:space="preserve">Portfolio Summary</t>
  </si>
  <si>
    <t xml:space="preserve">The numbers a CFO or category manager should see each month.</t>
  </si>
  <si>
    <t xml:space="preserve">Metric</t>
  </si>
  <si>
    <t xml:space="preserve">Value</t>
  </si>
  <si>
    <t xml:space="preserve">How to read it</t>
  </si>
  <si>
    <t xml:space="preserve">Monthly tasks served</t>
  </si>
  <si>
    <t xml:space="preserve">Business units of work, not API calls</t>
  </si>
  <si>
    <t xml:space="preserve">Effective model calls per month</t>
  </si>
  <si>
    <t xml:space="preserve">Includes agent steps and retries</t>
  </si>
  <si>
    <t xml:space="preserve">Input tokens per month (M)</t>
  </si>
  <si>
    <t xml:space="preserve">Output + reasoning tokens per month (M)</t>
  </si>
  <si>
    <t xml:space="preserve">Token cost per month $</t>
  </si>
  <si>
    <t xml:space="preserve">The vendor invoice</t>
  </si>
  <si>
    <t xml:space="preserve">Shared platform cost per month $</t>
  </si>
  <si>
    <t xml:space="preserve">Usually invisible in vendor-only views</t>
  </si>
  <si>
    <t xml:space="preserve">Total AI run cost per month $</t>
  </si>
  <si>
    <t xml:space="preserve">Token cost plus platform</t>
  </si>
  <si>
    <t xml:space="preserve">Token share of AI run cost</t>
  </si>
  <si>
    <t xml:space="preserve">Below ~50% means scale, not price, is the main lever</t>
  </si>
  <si>
    <t xml:space="preserve">Blended AI cost per task $</t>
  </si>
  <si>
    <t xml:space="preserve">Effective cache hit rate</t>
  </si>
  <si>
    <t xml:space="preserve">Weighted by input volume</t>
  </si>
  <si>
    <t xml:space="preserve">High share points to verbosity or reasoning load</t>
  </si>
  <si>
    <t xml:space="preserve">Largest use case share of token cost</t>
  </si>
  <si>
    <t xml:space="preserve">Concentration risk on one workload</t>
  </si>
  <si>
    <t xml:space="preserve">Net value per month $</t>
  </si>
  <si>
    <t xml:space="preserve">After realization haircut and all AI costs</t>
  </si>
  <si>
    <t xml:space="preserve">Net value per year $</t>
  </si>
  <si>
    <t xml:space="preserve">Net value per dollar of AI run cost</t>
  </si>
  <si>
    <t xml:space="preserve">Token cost by model tier</t>
  </si>
  <si>
    <t xml:space="preserve">Tier</t>
  </si>
  <si>
    <t xml:space="preserve">Share</t>
  </si>
  <si>
    <t xml:space="preserve">Sensitivity and Optimization Levers</t>
  </si>
  <si>
    <t xml:space="preserve">Each row changes one driver and holds everything else at the worked-example values. Levers are not strictly additive.</t>
  </si>
  <si>
    <t xml:space="preserve">Lever settings</t>
  </si>
  <si>
    <t xml:space="preserve">Vendor price increase</t>
  </si>
  <si>
    <t xml:space="preserve">Vendor price cut</t>
  </si>
  <si>
    <t xml:space="preserve">Volume multiplier</t>
  </si>
  <si>
    <t xml:space="preserve">Input context trimmed by</t>
  </si>
  <si>
    <t xml:space="preserve">Cache hit uplift (points)</t>
  </si>
  <si>
    <t xml:space="preserve">Output tokens reduced by</t>
  </si>
  <si>
    <t xml:space="preserve">Cache hit ceiling</t>
  </si>
  <si>
    <t xml:space="preserve">Task success rate drop (points)</t>
  </si>
  <si>
    <t xml:space="preserve">Per use case helper</t>
  </si>
  <si>
    <t xml:space="preserve">Route to Small tier? (Y/N)</t>
  </si>
  <si>
    <t xml:space="preserve">Token cost $ now</t>
  </si>
  <si>
    <t xml:space="preserve">Token cost $ on Small tier</t>
  </si>
  <si>
    <t xml:space="preserve">Routing saving $</t>
  </si>
  <si>
    <t xml:space="preserve">Cache uplift saving $</t>
  </si>
  <si>
    <t xml:space="preserve">N</t>
  </si>
  <si>
    <t xml:space="preserve">Y</t>
  </si>
  <si>
    <t xml:space="preserve">Total</t>
  </si>
  <si>
    <t xml:space="preserve">Scenario results</t>
  </si>
  <si>
    <t xml:space="preserve">Scenario</t>
  </si>
  <si>
    <t xml:space="preserve">Total AI run cost $ / month</t>
  </si>
  <si>
    <t xml:space="preserve">AI cost per task $</t>
  </si>
  <si>
    <t xml:space="preserve">Change in net value vs base $</t>
  </si>
  <si>
    <t xml:space="preserve">Base (worked example)</t>
  </si>
  <si>
    <t xml:space="preserve">Volume multiplied</t>
  </si>
  <si>
    <t xml:space="preserve">Input context trimmed</t>
  </si>
  <si>
    <t xml:space="preserve">Cache hit rate raised</t>
  </si>
  <si>
    <t xml:space="preserve">Output tokens reduced</t>
  </si>
  <si>
    <t xml:space="preserve">Flagged use cases routed to Small tier</t>
  </si>
  <si>
    <t xml:space="preserve">Task success rate lower</t>
  </si>
  <si>
    <t xml:space="preserve">Routing assumes task success holds on the smaller model. Validate with an evaluation set before switching; a lower success rate can erase the saving through human rework.</t>
  </si>
  <si>
    <t xml:space="preserve">Volume scenario shows fixed platform cost spreading over more tasks, which is often the largest unit-cost lever in year one.</t>
  </si>
  <si>
    <t xml:space="preserve">Task success scenario: each failed task falls back to full human effort, so a lower success rate erodes value far faster than any plausible token price change.</t>
  </si>
  <si>
    <t xml:space="preserve">Monthly Tracker (actuals from gateway or vendor usage exports)</t>
  </si>
  <si>
    <t xml:space="preserve">Enter blue columns each month at portfolio or use-case level. KPI columns calculate. Row 5 shows an example month.</t>
  </si>
  <si>
    <t xml:space="preserve">Month</t>
  </si>
  <si>
    <t xml:space="preserve">Tasks completed</t>
  </si>
  <si>
    <t xml:space="preserve">Successful tasks</t>
  </si>
  <si>
    <t xml:space="preserve">Model calls</t>
  </si>
  <si>
    <t xml:space="preserve">Retried calls</t>
  </si>
  <si>
    <t xml:space="preserve">Input tokens (M)</t>
  </si>
  <si>
    <t xml:space="preserve">Cached input tokens (M)</t>
  </si>
  <si>
    <t xml:space="preserve">Output + reasoning tokens (M)</t>
  </si>
  <si>
    <t xml:space="preserve">Token cost $</t>
  </si>
  <si>
    <t xml:space="preserve">Platform cost $</t>
  </si>
  <si>
    <t xml:space="preserve">Cost per successful task $</t>
  </si>
  <si>
    <t xml:space="preserve">Cache hit rate</t>
  </si>
  <si>
    <t xml:space="preserve">Retry rate</t>
  </si>
  <si>
    <t xml:space="preserve">Output : input ratio</t>
  </si>
  <si>
    <t xml:space="preserve">Calls per task</t>
  </si>
  <si>
    <t xml:space="preserve">2026-01</t>
  </si>
  <si>
    <t xml:space="preserve">2026-02</t>
  </si>
  <si>
    <t xml:space="preserve">2026-03</t>
  </si>
  <si>
    <t xml:space="preserve">2026-04</t>
  </si>
  <si>
    <t xml:space="preserve">2026-05</t>
  </si>
  <si>
    <t xml:space="preserve">2026-06</t>
  </si>
  <si>
    <t xml:space="preserve">2026-07</t>
  </si>
  <si>
    <t xml:space="preserve">2026-08</t>
  </si>
  <si>
    <t xml:space="preserve">2026-09</t>
  </si>
  <si>
    <t xml:space="preserve">2026-10</t>
  </si>
  <si>
    <t xml:space="preserve">2026-11</t>
  </si>
  <si>
    <t xml:space="preserve">2026-12</t>
  </si>
  <si>
    <t xml:space="preserve">Watch for: tokens per task creeping up (context bloat), calls per task rising (agent loops), cache hit rate falling after prompt changes, and cost per successful task rising while token price is flat (quality regression).</t>
  </si>
  <si>
    <t xml:space="preserve">GenAI Token Economics Model</t>
  </si>
  <si>
    <t xml:space="preserve">AI Daily</t>
  </si>
  <si>
    <t xml:space="preserve">One development in artificial intelligence each day, read carefully. A daily, single-topic briefing on AI for business, policy, research and society, with occasional deeper pieces like this model.</t>
  </si>
  <si>
    <t xml:space="preserve">Helps business and finance leaders judge whether a GenAI use case pays for itself, measured as cost per successful task rather than price per token.</t>
  </si>
  <si>
    <t xml:space="preserve">Author</t>
  </si>
  <si>
    <t xml:space="preserve">Nikhil Nan, procurement analytics and digital transformation professional. Writes AI Daily on LinkedIn.</t>
  </si>
  <si>
    <t xml:space="preserve">Connect</t>
  </si>
  <si>
    <t xml:space="preserve">linkedin.com/in/nikhil-nan</t>
  </si>
  <si>
    <t xml:space="preserve">Source and updates</t>
  </si>
  <si>
    <t xml:space="preserve">github.com/nikhilnan-git/token-economics-template</t>
  </si>
  <si>
    <t xml:space="preserve">License</t>
  </si>
  <si>
    <t xml:space="preserve">Creative Commons Attribution 4.0 International (CC BY 4.0). You may use, share and adapt this workbook, including within your organization, provided you credit the author. https://creativecommons.org/licenses/by/4.0/</t>
  </si>
  <si>
    <t xml:space="preserve">Suggested citation</t>
  </si>
  <si>
    <t xml:space="preserve">Nan, N. (2026). GenAI Token Economics Model, Version 1.0. AI Daily. github.com/nikhilnan-git/token-economics-template</t>
  </si>
  <si>
    <t xml:space="preserve">Feedback</t>
  </si>
  <si>
    <t xml:space="preserve">Suggestions and corrections are welcome via LinkedIn or a GitHub issue. Improvements will be reflected in later versions.</t>
  </si>
  <si>
    <t xml:space="preserve">Disclaimer</t>
  </si>
  <si>
    <t xml:space="preserve">The firm, use cases and figures are fictional, and the methodology is a simplified, illustrative framework rather than a validated standard. Adapt its assumptions to your own context before relying on it. Model prices reflect the general range of public list prices and are not quotes from any vendor. This workbook is not based on any organization's data, does not constitute financial advice, and reflects the author's own views.</t>
  </si>
  <si>
    <t xml:space="preserve">Version history</t>
  </si>
  <si>
    <t xml:space="preserve">1.0 (October 2026): initial release with Start Here calculator, detailed model, sensitivity analysis and monthly KPI tracker.</t>
  </si>
</sst>
</file>

<file path=xl/styles.xml><?xml version="1.0" encoding="utf-8"?>
<styleSheet xmlns="http://schemas.openxmlformats.org/spreadsheetml/2006/main">
  <numFmts count="9">
    <numFmt numFmtId="164" formatCode="General"/>
    <numFmt numFmtId="165" formatCode="#,##0;\(#,##0\);\-"/>
    <numFmt numFmtId="166" formatCode="#,##0.0;\(#,##0.0\);\-"/>
    <numFmt numFmtId="167" formatCode="\$#,##0;&quot;($&quot;#,##0\);\-"/>
    <numFmt numFmtId="168" formatCode="0.0%;\(0.0%\);\-"/>
    <numFmt numFmtId="169" formatCode="\$#,##0.0000;&quot;($&quot;#,##0.0000\);\-"/>
    <numFmt numFmtId="170" formatCode="\$#,##0.00;&quot;($&quot;#,##0.00\);\-"/>
    <numFmt numFmtId="171" formatCode="0.0\x;\(0.0&quot;x)&quot;;\-"/>
    <numFmt numFmtId="172" formatCode="0.000"/>
  </numFmts>
  <fonts count="16">
    <font>
      <sz val="11"/>
      <color theme="1"/>
      <name val="Calibri"/>
      <family val="2"/>
      <charset val="1"/>
    </font>
    <font>
      <sz val="10"/>
      <name val="Arial"/>
      <family val="0"/>
    </font>
    <font>
      <sz val="10"/>
      <name val="Arial"/>
      <family val="0"/>
    </font>
    <font>
      <sz val="10"/>
      <name val="Arial"/>
      <family val="0"/>
    </font>
    <font>
      <b val="true"/>
      <sz val="18"/>
      <color rgb="FF1F3864"/>
      <name val="Arial"/>
      <family val="0"/>
      <charset val="1"/>
    </font>
    <font>
      <i val="true"/>
      <sz val="9"/>
      <color rgb="FF595959"/>
      <name val="Arial"/>
      <family val="0"/>
      <charset val="1"/>
    </font>
    <font>
      <b val="true"/>
      <sz val="10"/>
      <color rgb="FF2F5FC4"/>
      <name val="Arial"/>
      <family val="0"/>
      <charset val="1"/>
    </font>
    <font>
      <b val="true"/>
      <sz val="11"/>
      <color rgb="FFFFFFFF"/>
      <name val="Arial"/>
      <family val="0"/>
      <charset val="1"/>
    </font>
    <font>
      <sz val="11"/>
      <name val="Arial"/>
      <family val="0"/>
      <charset val="1"/>
    </font>
    <font>
      <sz val="11"/>
      <color rgb="FF0000FF"/>
      <name val="Arial"/>
      <family val="0"/>
      <charset val="1"/>
    </font>
    <font>
      <b val="true"/>
      <sz val="14"/>
      <color rgb="FF1F3864"/>
      <name val="Arial"/>
      <family val="0"/>
      <charset val="1"/>
    </font>
    <font>
      <b val="true"/>
      <sz val="11"/>
      <name val="Arial"/>
      <family val="0"/>
      <charset val="1"/>
    </font>
    <font>
      <b val="true"/>
      <sz val="12"/>
      <color rgb="FF1F3864"/>
      <name val="Arial"/>
      <family val="0"/>
      <charset val="1"/>
    </font>
    <font>
      <sz val="10"/>
      <name val="Arial"/>
      <family val="2"/>
    </font>
    <font>
      <sz val="11"/>
      <color rgb="FF008000"/>
      <name val="Arial"/>
      <family val="0"/>
      <charset val="1"/>
    </font>
    <font>
      <b val="true"/>
      <sz val="11"/>
      <color rgb="FF2F5FC4"/>
      <name val="Arial"/>
      <family val="0"/>
      <charset val="1"/>
    </font>
  </fonts>
  <fills count="5">
    <fill>
      <patternFill patternType="none"/>
    </fill>
    <fill>
      <patternFill patternType="gray125"/>
    </fill>
    <fill>
      <patternFill patternType="solid">
        <fgColor rgb="FF1F3864"/>
        <bgColor rgb="FF333399"/>
      </patternFill>
    </fill>
    <fill>
      <patternFill patternType="solid">
        <fgColor rgb="FFFFF2CC"/>
        <bgColor rgb="FFF2F2F2"/>
      </patternFill>
    </fill>
    <fill>
      <patternFill patternType="solid">
        <fgColor rgb="FFF2F2F2"/>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8" fontId="9" fillId="3" borderId="1" xfId="0" applyFont="true" applyBorder="true" applyAlignment="false" applyProtection="false">
      <alignment horizontal="general" vertical="bottom" textRotation="0" wrapText="false" indent="0" shrinkToFit="false"/>
      <protection locked="true" hidden="false"/>
    </xf>
    <xf numFmtId="169" fontId="9"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70" fontId="8" fillId="4" borderId="1" xfId="0" applyFont="true" applyBorder="true" applyAlignment="false" applyProtection="false">
      <alignment horizontal="general" vertical="bottom" textRotation="0" wrapText="false" indent="0" shrinkToFit="false"/>
      <protection locked="true" hidden="false"/>
    </xf>
    <xf numFmtId="169" fontId="8" fillId="4"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right"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7" fontId="12" fillId="4" borderId="1" xfId="0" applyFont="true" applyBorder="true" applyAlignment="false" applyProtection="false">
      <alignment horizontal="general" vertical="bottom" textRotation="0" wrapText="false" indent="0" shrinkToFit="false"/>
      <protection locked="true" hidden="false"/>
    </xf>
    <xf numFmtId="167" fontId="12" fillId="0" borderId="1" xfId="0" applyFont="true" applyBorder="true" applyAlignment="false" applyProtection="false">
      <alignment horizontal="general" vertical="bottom" textRotation="0" wrapText="false" indent="0" shrinkToFit="false"/>
      <protection locked="true" hidden="false"/>
    </xf>
    <xf numFmtId="167" fontId="8" fillId="4" borderId="1" xfId="0" applyFont="true" applyBorder="true" applyAlignment="false" applyProtection="false">
      <alignment horizontal="general" vertical="bottom" textRotation="0" wrapText="false" indent="0" shrinkToFit="false"/>
      <protection locked="true" hidden="false"/>
    </xf>
    <xf numFmtId="171" fontId="8" fillId="4" borderId="1" xfId="0" applyFont="true" applyBorder="true" applyAlignment="false" applyProtection="false">
      <alignment horizontal="general" vertical="bottom" textRotation="0" wrapText="false" indent="0" shrinkToFit="false"/>
      <protection locked="true" hidden="false"/>
    </xf>
    <xf numFmtId="168" fontId="8" fillId="4"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4" fontId="12" fillId="4"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9" fontId="8"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70" fontId="9" fillId="3"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7" fontId="9" fillId="3" borderId="1" xfId="0" applyFont="true" applyBorder="true" applyAlignment="false" applyProtection="false">
      <alignment horizontal="general" vertical="bottom" textRotation="0" wrapText="false" indent="0" shrinkToFit="false"/>
      <protection locked="true" hidden="false"/>
    </xf>
    <xf numFmtId="167" fontId="11" fillId="0" borderId="1" xfId="0" applyFont="true" applyBorder="true" applyAlignment="false" applyProtection="false">
      <alignment horizontal="general" vertical="bottom" textRotation="0" wrapText="false" indent="0" shrinkToFit="false"/>
      <protection locked="true" hidden="false"/>
    </xf>
    <xf numFmtId="168" fontId="9" fillId="0" borderId="1" xfId="0" applyFont="true" applyBorder="true" applyAlignment="false" applyProtection="false">
      <alignment horizontal="general" vertical="bottom" textRotation="0" wrapText="fals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71" fontId="8" fillId="0" borderId="1" xfId="0" applyFont="true" applyBorder="tru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6" fontId="11" fillId="0" borderId="1" xfId="0" applyFont="true" applyBorder="true" applyAlignment="false" applyProtection="false">
      <alignment horizontal="general" vertical="bottom" textRotation="0" wrapText="false" indent="0" shrinkToFit="false"/>
      <protection locked="true" hidden="false"/>
    </xf>
    <xf numFmtId="171" fontId="11" fillId="0" borderId="1" xfId="0" applyFont="true" applyBorder="true" applyAlignment="false" applyProtection="false">
      <alignment horizontal="general" vertical="bottom" textRotation="0" wrapText="false" indent="0" shrinkToFit="false"/>
      <protection locked="true" hidden="false"/>
    </xf>
    <xf numFmtId="165" fontId="14" fillId="0" borderId="1" xfId="0" applyFont="true" applyBorder="true" applyAlignment="false" applyProtection="false">
      <alignment horizontal="general" vertical="bottom" textRotation="0" wrapText="false" indent="0" shrinkToFit="false"/>
      <protection locked="true" hidden="false"/>
    </xf>
    <xf numFmtId="166" fontId="14" fillId="0" borderId="1" xfId="0" applyFont="true" applyBorder="true" applyAlignment="false" applyProtection="false">
      <alignment horizontal="general" vertical="bottom" textRotation="0" wrapText="false" indent="0" shrinkToFit="false"/>
      <protection locked="true" hidden="false"/>
    </xf>
    <xf numFmtId="167" fontId="14" fillId="0" borderId="1" xfId="0" applyFont="true" applyBorder="true" applyAlignment="false" applyProtection="false">
      <alignment horizontal="general" vertical="bottom" textRotation="0" wrapText="false" indent="0" shrinkToFit="false"/>
      <protection locked="true" hidden="false"/>
    </xf>
    <xf numFmtId="168" fontId="14" fillId="0" borderId="1" xfId="0" applyFont="true" applyBorder="true" applyAlignment="false" applyProtection="false">
      <alignment horizontal="general" vertical="bottom" textRotation="0" wrapText="false" indent="0" shrinkToFit="false"/>
      <protection locked="true" hidden="false"/>
    </xf>
    <xf numFmtId="169" fontId="14" fillId="0" borderId="1" xfId="0" applyFont="true" applyBorder="true" applyAlignment="false" applyProtection="false">
      <alignment horizontal="general" vertical="bottom" textRotation="0" wrapText="false" indent="0" shrinkToFit="false"/>
      <protection locked="true" hidden="false"/>
    </xf>
    <xf numFmtId="171" fontId="14" fillId="0" borderId="1" xfId="0" applyFont="true" applyBorder="true" applyAlignment="false" applyProtection="false">
      <alignment horizontal="general" vertical="bottom" textRotation="0" wrapText="false" indent="0" shrinkToFit="false"/>
      <protection locked="true" hidden="false"/>
    </xf>
    <xf numFmtId="171" fontId="9" fillId="3" borderId="1" xfId="0" applyFont="true" applyBorder="true" applyAlignment="false" applyProtection="false">
      <alignment horizontal="general" vertical="bottom" textRotation="0" wrapText="false" indent="0" shrinkToFit="false"/>
      <protection locked="true" hidden="false"/>
    </xf>
    <xf numFmtId="172" fontId="8" fillId="0" borderId="1"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F5FC4"/>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1421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0</xdr:row>
      <xdr:rowOff>0</xdr:rowOff>
    </xdr:from>
    <xdr:to>
      <xdr:col>7</xdr:col>
      <xdr:colOff>1856880</xdr:colOff>
      <xdr:row>0</xdr:row>
      <xdr:rowOff>628200</xdr:rowOff>
    </xdr:to>
    <xdr:pic>
      <xdr:nvPicPr>
        <xdr:cNvPr id="0" name="Image 1" descr="Picture"/>
        <xdr:cNvPicPr/>
      </xdr:nvPicPr>
      <xdr:blipFill>
        <a:blip r:embed="rId1"/>
        <a:stretch/>
      </xdr:blipFill>
      <xdr:spPr>
        <a:xfrm>
          <a:off x="10361160" y="0"/>
          <a:ext cx="1856880" cy="62820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0</xdr:row>
      <xdr:rowOff>0</xdr:rowOff>
    </xdr:from>
    <xdr:to>
      <xdr:col>2</xdr:col>
      <xdr:colOff>306000</xdr:colOff>
      <xdr:row>0</xdr:row>
      <xdr:rowOff>628200</xdr:rowOff>
    </xdr:to>
    <xdr:pic>
      <xdr:nvPicPr>
        <xdr:cNvPr id="1" name="Image 1" descr="Picture"/>
        <xdr:cNvPicPr/>
      </xdr:nvPicPr>
      <xdr:blipFill>
        <a:blip r:embed="rId1"/>
        <a:stretch/>
      </xdr:blipFill>
      <xdr:spPr>
        <a:xfrm>
          <a:off x="211320" y="0"/>
          <a:ext cx="1856880" cy="62820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1.vml"/>
</Relationships>
</file>

<file path=xl/worksheets/_rels/sheet10.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FC4"/>
    <pageSetUpPr fitToPage="true"/>
  </sheetPr>
  <dimension ref="A1:H4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52"/>
    <col collapsed="false" customWidth="true" hidden="false" outlineLevel="0" max="7" min="3" style="0" width="17"/>
    <col collapsed="false" customWidth="true" hidden="false" outlineLevel="0" max="8" min="8" style="0" width="56"/>
  </cols>
  <sheetData>
    <row r="1" customFormat="false" ht="51.75" hidden="false" customHeight="true" outlineLevel="0" collapsed="false">
      <c r="B1" s="1" t="s">
        <v>0</v>
      </c>
    </row>
    <row r="2" customFormat="false" ht="15" hidden="false" customHeight="false" outlineLevel="0" collapsed="false">
      <c r="B2" s="2" t="s">
        <v>1</v>
      </c>
    </row>
    <row r="3" customFormat="false" ht="15" hidden="false" customHeight="false" outlineLevel="0" collapsed="false">
      <c r="B3" s="2" t="s">
        <v>2</v>
      </c>
      <c r="H3" s="3" t="s">
        <v>3</v>
      </c>
    </row>
    <row r="4" customFormat="false" ht="15" hidden="false" customHeight="false" outlineLevel="0" collapsed="false">
      <c r="H4" s="4" t="s">
        <v>4</v>
      </c>
    </row>
    <row r="5" customFormat="false" ht="48" hidden="false" customHeight="true" outlineLevel="0" collapsed="false">
      <c r="B5" s="5" t="s">
        <v>5</v>
      </c>
      <c r="C5" s="5" t="s">
        <v>6</v>
      </c>
      <c r="D5" s="5" t="s">
        <v>7</v>
      </c>
      <c r="E5" s="5" t="s">
        <v>8</v>
      </c>
      <c r="F5" s="5" t="s">
        <v>9</v>
      </c>
      <c r="G5" s="5" t="s">
        <v>10</v>
      </c>
      <c r="H5" s="5" t="s">
        <v>11</v>
      </c>
    </row>
    <row r="6" customFormat="false" ht="48" hidden="false" customHeight="true" outlineLevel="0" collapsed="false">
      <c r="B6" s="6" t="s">
        <v>12</v>
      </c>
      <c r="C6" s="7" t="s">
        <v>13</v>
      </c>
      <c r="D6" s="7" t="s">
        <v>14</v>
      </c>
      <c r="E6" s="7" t="s">
        <v>15</v>
      </c>
      <c r="F6" s="7" t="s">
        <v>16</v>
      </c>
      <c r="G6" s="7"/>
      <c r="H6" s="8" t="s">
        <v>17</v>
      </c>
    </row>
    <row r="7" customFormat="false" ht="33.75" hidden="false" customHeight="true" outlineLevel="0" collapsed="false">
      <c r="B7" s="6" t="s">
        <v>18</v>
      </c>
      <c r="C7" s="9" t="n">
        <v>60000</v>
      </c>
      <c r="D7" s="9" t="n">
        <v>3000</v>
      </c>
      <c r="E7" s="9" t="n">
        <v>25000</v>
      </c>
      <c r="F7" s="9" t="n">
        <v>150000</v>
      </c>
      <c r="G7" s="9"/>
      <c r="H7" s="8" t="s">
        <v>19</v>
      </c>
    </row>
    <row r="8" customFormat="false" ht="33.75" hidden="false" customHeight="true" outlineLevel="0" collapsed="false">
      <c r="B8" s="6" t="s">
        <v>20</v>
      </c>
      <c r="C8" s="10" t="n">
        <v>9</v>
      </c>
      <c r="D8" s="10" t="n">
        <v>75</v>
      </c>
      <c r="E8" s="10" t="n">
        <v>8</v>
      </c>
      <c r="F8" s="10" t="n">
        <v>4</v>
      </c>
      <c r="G8" s="10"/>
      <c r="H8" s="8" t="s">
        <v>21</v>
      </c>
    </row>
    <row r="9" customFormat="false" ht="33.75" hidden="false" customHeight="true" outlineLevel="0" collapsed="false">
      <c r="B9" s="6" t="s">
        <v>22</v>
      </c>
      <c r="C9" s="11" t="n">
        <v>32</v>
      </c>
      <c r="D9" s="11" t="n">
        <v>85</v>
      </c>
      <c r="E9" s="11" t="n">
        <v>28</v>
      </c>
      <c r="F9" s="11" t="n">
        <v>45</v>
      </c>
      <c r="G9" s="11"/>
      <c r="H9" s="8" t="s">
        <v>23</v>
      </c>
    </row>
    <row r="10" customFormat="false" ht="33.75" hidden="false" customHeight="true" outlineLevel="0" collapsed="false">
      <c r="B10" s="6" t="s">
        <v>24</v>
      </c>
      <c r="C10" s="12" t="n">
        <v>0.78</v>
      </c>
      <c r="D10" s="12" t="n">
        <v>0.9</v>
      </c>
      <c r="E10" s="12" t="n">
        <v>0.85</v>
      </c>
      <c r="F10" s="12" t="n">
        <v>0.7</v>
      </c>
      <c r="G10" s="12"/>
      <c r="H10" s="8" t="s">
        <v>25</v>
      </c>
    </row>
    <row r="11" customFormat="false" ht="33.75" hidden="false" customHeight="true" outlineLevel="0" collapsed="false">
      <c r="B11" s="6" t="s">
        <v>26</v>
      </c>
      <c r="C11" s="10" t="n">
        <v>1</v>
      </c>
      <c r="D11" s="10" t="n">
        <v>12</v>
      </c>
      <c r="E11" s="10" t="n">
        <v>1.5</v>
      </c>
      <c r="F11" s="10" t="n">
        <v>0</v>
      </c>
      <c r="G11" s="10"/>
      <c r="H11" s="8" t="s">
        <v>27</v>
      </c>
    </row>
    <row r="12" customFormat="false" ht="33.75" hidden="false" customHeight="true" outlineLevel="0" collapsed="false">
      <c r="B12" s="6" t="s">
        <v>28</v>
      </c>
      <c r="C12" s="13" t="n">
        <v>0.1184544</v>
      </c>
      <c r="D12" s="13" t="n">
        <v>0.6433875</v>
      </c>
      <c r="E12" s="13" t="n">
        <v>0.00230205</v>
      </c>
      <c r="F12" s="13" t="n">
        <v>0.027159</v>
      </c>
      <c r="G12" s="13"/>
      <c r="H12" s="8" t="s">
        <v>29</v>
      </c>
    </row>
    <row r="13" customFormat="false" ht="33.75" hidden="false" customHeight="true" outlineLevel="0" collapsed="false">
      <c r="B13" s="6" t="s">
        <v>30</v>
      </c>
      <c r="C13" s="14"/>
      <c r="D13" s="14"/>
      <c r="E13" s="14"/>
      <c r="F13" s="14"/>
      <c r="G13" s="14"/>
      <c r="H13" s="8" t="s">
        <v>31</v>
      </c>
    </row>
    <row r="14" customFormat="false" ht="33.75" hidden="false" customHeight="true" outlineLevel="0" collapsed="false">
      <c r="B14" s="6" t="s">
        <v>32</v>
      </c>
      <c r="C14" s="14"/>
      <c r="D14" s="14"/>
      <c r="E14" s="14"/>
      <c r="F14" s="14"/>
      <c r="G14" s="14"/>
      <c r="H14" s="8" t="s">
        <v>33</v>
      </c>
    </row>
    <row r="15" customFormat="false" ht="33.75" hidden="false" customHeight="true" outlineLevel="0" collapsed="false">
      <c r="B15" s="6" t="s">
        <v>34</v>
      </c>
      <c r="C15" s="11" t="n">
        <v>24287</v>
      </c>
      <c r="D15" s="11" t="n">
        <v>6596</v>
      </c>
      <c r="E15" s="11" t="n">
        <v>197</v>
      </c>
      <c r="F15" s="11" t="n">
        <v>13921</v>
      </c>
      <c r="G15" s="11"/>
      <c r="H15" s="8" t="s">
        <v>35</v>
      </c>
    </row>
    <row r="16" customFormat="false" ht="33.75" hidden="false" customHeight="true" outlineLevel="0" collapsed="false">
      <c r="B16" s="6" t="s">
        <v>36</v>
      </c>
      <c r="C16" s="12" t="n">
        <v>0.9</v>
      </c>
      <c r="D16" s="12" t="n">
        <v>0.8</v>
      </c>
      <c r="E16" s="12" t="n">
        <v>1</v>
      </c>
      <c r="F16" s="12" t="n">
        <v>0.4</v>
      </c>
      <c r="G16" s="12"/>
      <c r="H16" s="8" t="s">
        <v>37</v>
      </c>
    </row>
    <row r="18" customFormat="false" ht="17.35" hidden="false" customHeight="false" outlineLevel="0" collapsed="false">
      <c r="B18" s="15" t="s">
        <v>38</v>
      </c>
    </row>
    <row r="19" customFormat="false" ht="24" hidden="false" customHeight="true" outlineLevel="0" collapsed="false">
      <c r="B19" s="16" t="s">
        <v>39</v>
      </c>
      <c r="C19" s="17" t="n">
        <f aca="false">IF(C7="","",C8/60*C9)</f>
        <v>4.8</v>
      </c>
      <c r="D19" s="17" t="n">
        <f aca="false">IF(D7="","",D8/60*D9)</f>
        <v>106.25</v>
      </c>
      <c r="E19" s="17" t="n">
        <f aca="false">IF(E7="","",E8/60*E9)</f>
        <v>3.73333333333333</v>
      </c>
      <c r="F19" s="17" t="n">
        <f aca="false">IF(F7="","",F8/60*F9)</f>
        <v>3</v>
      </c>
      <c r="G19" s="17" t="str">
        <f aca="false">IF(G7="","",G8/60*G9)</f>
        <v/>
      </c>
    </row>
    <row r="20" customFormat="false" ht="24" hidden="false" customHeight="true" outlineLevel="0" collapsed="false">
      <c r="B20" s="16" t="s">
        <v>40</v>
      </c>
      <c r="C20" s="18" t="n">
        <f aca="false">IF(C7="","",IF(C12&lt;&gt;"",C12,IFERROR(INDEX($C$37:$E$39,MATCH(C13,$A$37:$A$39,0),MATCH(C14,$C$36:$E$36,0)),0)))</f>
        <v>0.1184544</v>
      </c>
      <c r="D20" s="18" t="n">
        <f aca="false">IF(D7="","",IF(D12&lt;&gt;"",D12,IFERROR(INDEX($C$37:$E$39,MATCH(D13,$A$37:$A$39,0),MATCH(D14,$C$36:$E$36,0)),0)))</f>
        <v>0.6433875</v>
      </c>
      <c r="E20" s="18" t="n">
        <f aca="false">IF(E7="","",IF(E12&lt;&gt;"",E12,IFERROR(INDEX($C$37:$E$39,MATCH(E13,$A$37:$A$39,0),MATCH(E14,$C$36:$E$36,0)),0)))</f>
        <v>0.00230205</v>
      </c>
      <c r="F20" s="18" t="n">
        <f aca="false">IF(F7="","",IF(F12&lt;&gt;"",F12,IFERROR(INDEX($C$37:$E$39,MATCH(F13,$A$37:$A$39,0),MATCH(F14,$C$36:$E$36,0)),0)))</f>
        <v>0.027159</v>
      </c>
      <c r="G20" s="18" t="str">
        <f aca="false">IF(G7="","",IF(G12&lt;&gt;"",G12,IFERROR(INDEX($C$37:$E$39,MATCH(G13,$A$37:$A$39,0),MATCH(G14,$C$36:$E$36,0)),0)))</f>
        <v/>
      </c>
    </row>
    <row r="21" customFormat="false" ht="24" hidden="false" customHeight="true" outlineLevel="0" collapsed="false">
      <c r="B21" s="16" t="s">
        <v>41</v>
      </c>
      <c r="C21" s="17" t="n">
        <f aca="false">IF(C7="","",IF(C10=0,0,(C20+C15/C7)/C10))</f>
        <v>0.670817606837607</v>
      </c>
      <c r="D21" s="17" t="n">
        <f aca="false">IF(D7="","",IF(D10=0,0,(D20+D15/D7)/D10))</f>
        <v>3.15783796296296</v>
      </c>
      <c r="E21" s="17" t="n">
        <f aca="false">IF(E7="","",IF(E10=0,0,(E20+E15/E7)/E10))</f>
        <v>0.0119788823529412</v>
      </c>
      <c r="F21" s="17" t="n">
        <f aca="false">IF(F7="","",IF(F10=0,0,(F20+F15/F7)/F10))</f>
        <v>0.171379523809524</v>
      </c>
      <c r="G21" s="17" t="str">
        <f aca="false">IF(G7="","",IF(G10=0,0,(G20+G15/G7)/G10))</f>
        <v/>
      </c>
      <c r="H21" s="19" t="s">
        <v>42</v>
      </c>
    </row>
    <row r="22" customFormat="false" ht="24" hidden="false" customHeight="true" outlineLevel="0" collapsed="false">
      <c r="B22" s="20" t="s">
        <v>43</v>
      </c>
      <c r="C22" s="21" t="n">
        <f aca="false">IF(C7="","",((C19-(C11/60*C9+(1-C10)*C19))*C16-(C20+C15/C7))*C7)</f>
        <v>141981.736</v>
      </c>
      <c r="D22" s="21" t="n">
        <f aca="false">IF(D7="","",((D19-(D11/60*D9+(1-D10)*D19))*D16-(D20+D15/D7))*D7)</f>
        <v>180173.8375</v>
      </c>
      <c r="E22" s="21" t="n">
        <f aca="false">IF(E7="","",((E19-(E11/60*E9+(1-E10)*E19))*E16-(E20+E15/E7))*E7)</f>
        <v>61578.7820833333</v>
      </c>
      <c r="F22" s="21" t="n">
        <f aca="false">IF(F7="","",((F19-(F11/60*F9+(1-F10)*F19))*F16-(F20+F15/F7))*F7)</f>
        <v>108005.15</v>
      </c>
      <c r="G22" s="21" t="str">
        <f aca="false">IF(G7="","",((G19-(G11/60*G9+(1-G10)*G19))*G16-(G20+G15/G7))*G7)</f>
        <v/>
      </c>
      <c r="H22" s="22" t="n">
        <f aca="false">SUM(C22:G22)</f>
        <v>491739.505583333</v>
      </c>
    </row>
    <row r="23" customFormat="false" ht="24" hidden="false" customHeight="true" outlineLevel="0" collapsed="false">
      <c r="B23" s="16" t="s">
        <v>44</v>
      </c>
      <c r="C23" s="23" t="n">
        <f aca="false">IF(C7="","",C22*12)</f>
        <v>1703780.832</v>
      </c>
      <c r="D23" s="23" t="n">
        <f aca="false">IF(D7="","",D22*12)</f>
        <v>2162086.05</v>
      </c>
      <c r="E23" s="23" t="n">
        <f aca="false">IF(E7="","",E22*12)</f>
        <v>738945.385</v>
      </c>
      <c r="F23" s="23" t="n">
        <f aca="false">IF(F7="","",F22*12)</f>
        <v>1296061.8</v>
      </c>
      <c r="G23" s="23" t="str">
        <f aca="false">IF(G7="","",G22*12)</f>
        <v/>
      </c>
      <c r="H23" s="22" t="n">
        <f aca="false">SUM(C23:G23)</f>
        <v>5900874.067</v>
      </c>
    </row>
    <row r="24" customFormat="false" ht="24" hidden="false" customHeight="true" outlineLevel="0" collapsed="false">
      <c r="B24" s="16" t="s">
        <v>45</v>
      </c>
      <c r="C24" s="24" t="n">
        <f aca="false">IF(C7="","",IF((C20*C7+C15)=0,0,C22/(C20*C7+C15)))</f>
        <v>4.52253749283627</v>
      </c>
      <c r="D24" s="24" t="n">
        <f aca="false">IF(D7="","",IF((D20*D7+D15)=0,0,D22/(D20*D7+D15)))</f>
        <v>21.1318793771524</v>
      </c>
      <c r="E24" s="24" t="n">
        <f aca="false">IF(E7="","",IF((E20*E7+E15)=0,0,E22/(E20*E7+E15)))</f>
        <v>241.911136100622</v>
      </c>
      <c r="F24" s="24" t="n">
        <f aca="false">IF(F7="","",IF((F20*F7+F15)=0,0,F22/(F20*F7+F15)))</f>
        <v>6.00200335095875</v>
      </c>
      <c r="G24" s="24" t="str">
        <f aca="false">IF(G7="","",IF((G20*G7+G15)=0,0,G22/(G20*G7+G15)))</f>
        <v/>
      </c>
    </row>
    <row r="25" customFormat="false" ht="24" hidden="false" customHeight="true" outlineLevel="0" collapsed="false">
      <c r="B25" s="20" t="s">
        <v>46</v>
      </c>
      <c r="C25" s="25" t="n">
        <f aca="false">IF(C7="","",IF(OR(C19=0,C16=0),"n/a",IF(((C20+C15/C7)/C16+C11/60*C9)/C19&gt;1,"Never pays",((C20+C15/C7)/C16+C11/60*C9)/C19)))</f>
        <v>0.232230956790123</v>
      </c>
      <c r="D25" s="25" t="n">
        <f aca="false">IF(D7="","",IF(OR(D19=0,D16=0),"n/a",IF(((D20+D15/D7)/D16+D11/60*D9)/D19&gt;1,"Never pays",((D20+D15/D7)/D16+D11/60*D9)/D19)))</f>
        <v>0.193435931372549</v>
      </c>
      <c r="E25" s="25" t="n">
        <f aca="false">IF(E7="","",IF(OR(E19=0,E16=0),"n/a",IF(((E20+E15/E7)/E16+E11/60*E9)/E19&gt;1,"Never pays",((E20+E15/E7)/E16+E11/60*E9)/E19)))</f>
        <v>0.190227334821429</v>
      </c>
      <c r="F25" s="25" t="n">
        <f aca="false">IF(F7="","",IF(OR(F19=0,F16=0),"n/a",IF(((F20+F15/F7)/F16+F11/60*F9)/F19&gt;1,"Never pays",((F20+F15/F7)/F16+F11/60*F9)/F19)))</f>
        <v>0.0999713888888889</v>
      </c>
      <c r="G25" s="25" t="str">
        <f aca="false">IF(G7="","",IF(OR(G19=0,G16=0),"n/a",IF(((G20+G15/G7)/G16+G11/60*G9)/G19&gt;1,"Never pays",((G20+G15/G7)/G16+G11/60*G9)/G19)))</f>
        <v/>
      </c>
    </row>
    <row r="26" customFormat="false" ht="24" hidden="false" customHeight="true" outlineLevel="0" collapsed="false">
      <c r="B26" s="16" t="s">
        <v>47</v>
      </c>
      <c r="C26" s="23" t="n">
        <f aca="false">IF(C7="","",0.1*C19*C16*C7)</f>
        <v>25920</v>
      </c>
      <c r="D26" s="23" t="n">
        <f aca="false">IF(D7="","",0.1*D19*D16*D7)</f>
        <v>25500</v>
      </c>
      <c r="E26" s="23" t="n">
        <f aca="false">IF(E7="","",0.1*E19*E16*E7)</f>
        <v>9333.33333333333</v>
      </c>
      <c r="F26" s="23" t="n">
        <f aca="false">IF(F7="","",0.1*F19*F16*F7)</f>
        <v>18000</v>
      </c>
      <c r="G26" s="23" t="str">
        <f aca="false">IF(G7="","",0.1*G19*G16*G7)</f>
        <v/>
      </c>
      <c r="H26" s="26" t="n">
        <f aca="false">SUM(C26:G26)</f>
        <v>78753.3333333333</v>
      </c>
    </row>
    <row r="27" customFormat="false" ht="24" hidden="false" customHeight="true" outlineLevel="0" collapsed="false">
      <c r="B27" s="20" t="s">
        <v>48</v>
      </c>
      <c r="C27" s="27" t="str">
        <f aca="false">IF(C7="","",IF(C22&gt;0,"Pays back","Loses money"))</f>
        <v>Pays back</v>
      </c>
      <c r="D27" s="27" t="str">
        <f aca="false">IF(D7="","",IF(D22&gt;0,"Pays back","Loses money"))</f>
        <v>Pays back</v>
      </c>
      <c r="E27" s="27" t="str">
        <f aca="false">IF(E7="","",IF(E22&gt;0,"Pays back","Loses money"))</f>
        <v>Pays back</v>
      </c>
      <c r="F27" s="27" t="str">
        <f aca="false">IF(F7="","",IF(F22&gt;0,"Pays back","Loses money"))</f>
        <v>Pays back</v>
      </c>
      <c r="G27" s="27" t="str">
        <f aca="false">IF(G7="","",IF(G22&gt;0,"Pays back","Loses money"))</f>
        <v/>
      </c>
    </row>
    <row r="29" customFormat="false" ht="15" hidden="false" customHeight="false" outlineLevel="0" collapsed="false">
      <c r="B29" s="20" t="s">
        <v>49</v>
      </c>
    </row>
    <row r="30" customFormat="false" ht="15" hidden="false" customHeight="false" outlineLevel="0" collapsed="false">
      <c r="B30" s="28" t="s">
        <v>50</v>
      </c>
    </row>
    <row r="31" customFormat="false" ht="15" hidden="false" customHeight="false" outlineLevel="0" collapsed="false">
      <c r="B31" s="28" t="s">
        <v>51</v>
      </c>
    </row>
    <row r="32" customFormat="false" ht="15" hidden="false" customHeight="false" outlineLevel="0" collapsed="false">
      <c r="B32" s="28" t="s">
        <v>52</v>
      </c>
    </row>
    <row r="33" customFormat="false" ht="15" hidden="false" customHeight="false" outlineLevel="0" collapsed="false">
      <c r="B33" s="2" t="s">
        <v>53</v>
      </c>
    </row>
    <row r="35" customFormat="false" ht="15" hidden="false" customHeight="false" outlineLevel="0" collapsed="false">
      <c r="B35" s="20" t="s">
        <v>54</v>
      </c>
    </row>
    <row r="36" customFormat="false" ht="48" hidden="false" customHeight="true" outlineLevel="0" collapsed="false">
      <c r="A36" s="5" t="s">
        <v>55</v>
      </c>
      <c r="B36" s="5" t="s">
        <v>56</v>
      </c>
      <c r="C36" s="5" t="s">
        <v>57</v>
      </c>
      <c r="D36" s="5" t="s">
        <v>58</v>
      </c>
      <c r="E36" s="5" t="s">
        <v>59</v>
      </c>
    </row>
    <row r="37" customFormat="false" ht="15" hidden="false" customHeight="false" outlineLevel="0" collapsed="false">
      <c r="A37" s="16" t="s">
        <v>60</v>
      </c>
      <c r="B37" s="9" t="n">
        <v>5000</v>
      </c>
      <c r="C37" s="29" t="n">
        <f aca="false">$B37/1000000*(0.85*0.6*'Rate Card'!$B$7+0.85*0.4*'Rate Card'!$C$7+0.15*'Rate Card'!$D$7)</f>
        <v>0.003235</v>
      </c>
      <c r="D37" s="29" t="n">
        <f aca="false">$B37/1000000*(0.85*0.6*'Rate Card'!$B$6+0.85*0.4*'Rate Card'!$C$6+0.15*'Rate Card'!$D$6)</f>
        <v>0.01294</v>
      </c>
      <c r="E37" s="29" t="n">
        <f aca="false">$B37/1000000*(0.85*0.6*'Rate Card'!$B$5+0.85*0.4*'Rate Card'!$C$5+0.15*'Rate Card'!$D$5)</f>
        <v>0.03235</v>
      </c>
    </row>
    <row r="38" customFormat="false" ht="15" hidden="false" customHeight="false" outlineLevel="0" collapsed="false">
      <c r="A38" s="16" t="s">
        <v>61</v>
      </c>
      <c r="B38" s="9" t="n">
        <v>50000</v>
      </c>
      <c r="C38" s="29" t="n">
        <f aca="false">$B38/1000000*(0.85*0.6*'Rate Card'!$B$7+0.85*0.4*'Rate Card'!$C$7+0.15*'Rate Card'!$D$7)</f>
        <v>0.03235</v>
      </c>
      <c r="D38" s="29" t="n">
        <f aca="false">$B38/1000000*(0.85*0.6*'Rate Card'!$B$6+0.85*0.4*'Rate Card'!$C$6+0.15*'Rate Card'!$D$6)</f>
        <v>0.1294</v>
      </c>
      <c r="E38" s="29" t="n">
        <f aca="false">$B38/1000000*(0.85*0.6*'Rate Card'!$B$5+0.85*0.4*'Rate Card'!$C$5+0.15*'Rate Card'!$D$5)</f>
        <v>0.3235</v>
      </c>
    </row>
    <row r="39" customFormat="false" ht="15" hidden="false" customHeight="false" outlineLevel="0" collapsed="false">
      <c r="A39" s="16" t="s">
        <v>62</v>
      </c>
      <c r="B39" s="9" t="n">
        <v>200000</v>
      </c>
      <c r="C39" s="29" t="n">
        <f aca="false">$B39/1000000*(0.85*0.6*'Rate Card'!$B$7+0.85*0.4*'Rate Card'!$C$7+0.15*'Rate Card'!$D$7)</f>
        <v>0.1294</v>
      </c>
      <c r="D39" s="29" t="n">
        <f aca="false">$B39/1000000*(0.85*0.6*'Rate Card'!$B$6+0.85*0.4*'Rate Card'!$C$6+0.15*'Rate Card'!$D$6)</f>
        <v>0.5176</v>
      </c>
      <c r="E39" s="29" t="n">
        <f aca="false">$B39/1000000*(0.85*0.6*'Rate Card'!$B$5+0.85*0.4*'Rate Card'!$C$5+0.15*'Rate Card'!$D$5)</f>
        <v>1.294</v>
      </c>
    </row>
    <row r="40" customFormat="false" ht="15" hidden="false" customHeight="false" outlineLevel="0" collapsed="false">
      <c r="B40" s="2" t="s">
        <v>63</v>
      </c>
    </row>
  </sheetData>
  <dataValidations count="2">
    <dataValidation allowBlank="true" errorStyle="stop" operator="between" showDropDown="false" showErrorMessage="false" showInputMessage="false" sqref="C13:G13" type="list">
      <formula1>"Light,Medium,Heavy"</formula1>
      <formula2>0</formula2>
    </dataValidation>
    <dataValidation allowBlank="true" errorStyle="stop" operator="between" showDropDown="false" showErrorMessage="false" showInputMessage="false" sqref="C14:G14" type="list">
      <formula1>"Economy,Standard,Premium"</formula1>
      <formula2>0</formula2>
    </dataValidation>
  </dataValidation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AI Daily by Nikhil Nan&amp;C&amp;8 &amp;A&amp;R&amp;8 CC BY 4.0 · Version 1.0</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10"/>
  </cols>
  <sheetData>
    <row r="1" customFormat="false" ht="17.35" hidden="false" customHeight="false" outlineLevel="0" collapsed="false">
      <c r="A1" s="30" t="s">
        <v>64</v>
      </c>
    </row>
    <row r="3" customFormat="false" ht="48" hidden="false" customHeight="true" outlineLevel="0" collapsed="false">
      <c r="A3" s="31" t="s">
        <v>65</v>
      </c>
      <c r="B3" s="32" t="s">
        <v>66</v>
      </c>
    </row>
    <row r="4" customFormat="false" ht="48" hidden="false" customHeight="true" outlineLevel="0" collapsed="false">
      <c r="A4" s="31" t="s">
        <v>67</v>
      </c>
      <c r="B4" s="32" t="s">
        <v>68</v>
      </c>
    </row>
    <row r="5" customFormat="false" ht="48" hidden="false" customHeight="true" outlineLevel="0" collapsed="false">
      <c r="A5" s="31" t="s">
        <v>69</v>
      </c>
      <c r="B5" s="32" t="s">
        <v>70</v>
      </c>
    </row>
    <row r="6" customFormat="false" ht="48" hidden="false" customHeight="true" outlineLevel="0" collapsed="false">
      <c r="A6" s="31" t="s">
        <v>71</v>
      </c>
      <c r="B6" s="32" t="s">
        <v>72</v>
      </c>
    </row>
    <row r="7" customFormat="false" ht="48" hidden="false" customHeight="true" outlineLevel="0" collapsed="false">
      <c r="A7" s="31" t="s">
        <v>73</v>
      </c>
      <c r="B7" s="32" t="s">
        <v>74</v>
      </c>
    </row>
    <row r="8" customFormat="false" ht="48" hidden="false" customHeight="true" outlineLevel="0" collapsed="false">
      <c r="A8" s="31" t="s">
        <v>75</v>
      </c>
      <c r="B8" s="32" t="s">
        <v>76</v>
      </c>
    </row>
    <row r="9" customFormat="false" ht="48" hidden="false" customHeight="true" outlineLevel="0" collapsed="false">
      <c r="A9" s="31" t="s">
        <v>77</v>
      </c>
      <c r="B9" s="32" t="s">
        <v>78</v>
      </c>
    </row>
    <row r="10" customFormat="false" ht="48" hidden="false" customHeight="true" outlineLevel="0" collapsed="false">
      <c r="A10" s="31" t="s">
        <v>79</v>
      </c>
      <c r="B10" s="32" t="s">
        <v>80</v>
      </c>
    </row>
    <row r="11" customFormat="false" ht="48" hidden="false" customHeight="true" outlineLevel="0" collapsed="false">
      <c r="A11" s="31" t="s">
        <v>81</v>
      </c>
      <c r="B11" s="32" t="s">
        <v>82</v>
      </c>
    </row>
  </sheetData>
  <printOptions headings="false" gridLines="false" gridLinesSet="true" horizontalCentered="false" verticalCentered="false"/>
  <pageMargins left="0.75" right="0.75" top="1" bottom="1" header="0.511811023622047" footer="0.5"/>
  <pageSetup paperSize="9" scale="100" fitToWidth="1" fitToHeight="1" pageOrder="downThenOver" orientation="portrait" blackAndWhite="false" draft="false" cellComments="none" horizontalDpi="300" verticalDpi="300" copies="1"/>
  <headerFooter differentFirst="false" differentOddEven="false">
    <oddHeader/>
    <oddFooter>&amp;L&amp;8 AI Daily by Nikhil Nan&amp;C&amp;8 &amp;A&amp;R&amp;8 CC BY 4.0 · Version 1.0</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4"/>
    <col collapsed="false" customWidth="true" hidden="false" outlineLevel="0" max="3" min="3" style="0" width="16"/>
    <col collapsed="false" customWidth="true" hidden="false" outlineLevel="0" max="4" min="4" style="0" width="18"/>
    <col collapsed="false" customWidth="true" hidden="false" outlineLevel="0" max="5" min="5" style="0" width="52"/>
  </cols>
  <sheetData>
    <row r="1" customFormat="false" ht="17.35" hidden="false" customHeight="false" outlineLevel="0" collapsed="false">
      <c r="A1" s="30" t="s">
        <v>83</v>
      </c>
    </row>
    <row r="2" customFormat="false" ht="15" hidden="false" customHeight="false" outlineLevel="0" collapsed="false">
      <c r="A2" s="2" t="s">
        <v>84</v>
      </c>
    </row>
    <row r="4" customFormat="false" ht="48" hidden="false" customHeight="true" outlineLevel="0" collapsed="false">
      <c r="A4" s="5" t="s">
        <v>85</v>
      </c>
      <c r="B4" s="5" t="s">
        <v>86</v>
      </c>
      <c r="C4" s="5" t="s">
        <v>87</v>
      </c>
      <c r="D4" s="5" t="s">
        <v>88</v>
      </c>
      <c r="E4" s="5" t="s">
        <v>89</v>
      </c>
    </row>
    <row r="5" customFormat="false" ht="15" hidden="false" customHeight="false" outlineLevel="0" collapsed="false">
      <c r="A5" s="14" t="s">
        <v>90</v>
      </c>
      <c r="B5" s="33" t="n">
        <v>5</v>
      </c>
      <c r="C5" s="33" t="n">
        <v>0.5</v>
      </c>
      <c r="D5" s="33" t="n">
        <v>25</v>
      </c>
      <c r="E5" s="16" t="s">
        <v>91</v>
      </c>
    </row>
    <row r="6" customFormat="false" ht="15" hidden="false" customHeight="false" outlineLevel="0" collapsed="false">
      <c r="A6" s="14" t="s">
        <v>92</v>
      </c>
      <c r="B6" s="33" t="n">
        <v>2</v>
      </c>
      <c r="C6" s="33" t="n">
        <v>0.2</v>
      </c>
      <c r="D6" s="33" t="n">
        <v>10</v>
      </c>
      <c r="E6" s="16" t="s">
        <v>93</v>
      </c>
    </row>
    <row r="7" customFormat="false" ht="15" hidden="false" customHeight="false" outlineLevel="0" collapsed="false">
      <c r="A7" s="14" t="s">
        <v>94</v>
      </c>
      <c r="B7" s="33" t="n">
        <v>0.5</v>
      </c>
      <c r="C7" s="33" t="n">
        <v>0.05</v>
      </c>
      <c r="D7" s="33" t="n">
        <v>2.5</v>
      </c>
      <c r="E7" s="16" t="s">
        <v>95</v>
      </c>
    </row>
    <row r="9" customFormat="false" ht="15" hidden="false" customHeight="false" outlineLevel="0" collapsed="false">
      <c r="A9" s="20" t="s">
        <v>96</v>
      </c>
      <c r="B9" s="12" t="n">
        <v>0.5</v>
      </c>
      <c r="C9" s="34" t="s">
        <v>97</v>
      </c>
    </row>
    <row r="11" customFormat="false" ht="15" hidden="false" customHeight="false" outlineLevel="0" collapsed="false">
      <c r="A11" s="2" t="s">
        <v>98</v>
      </c>
    </row>
  </sheetData>
  <printOptions headings="false" gridLines="false" gridLinesSet="true" horizontalCentered="false" verticalCentered="false"/>
  <pageMargins left="0.75" right="0.75" top="1" bottom="1" header="0.511811023622047" footer="0.5"/>
  <pageSetup paperSize="9" scale="100" fitToWidth="1" fitToHeight="1" pageOrder="downThenOver" orientation="portrait" blackAndWhite="false" draft="false" cellComments="none" horizontalDpi="300" verticalDpi="300" copies="1"/>
  <headerFooter differentFirst="false" differentOddEven="false">
    <oddHeader/>
    <oddFooter>&amp;L&amp;8 AI Daily by Nikhil Nan&amp;C&amp;8 &amp;A&amp;R&amp;8 CC BY 4.0 · Version 1.0</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6"/>
    <col collapsed="false" customWidth="true" hidden="false" outlineLevel="0" max="3" min="3" style="0" width="60"/>
  </cols>
  <sheetData>
    <row r="1" customFormat="false" ht="17.35" hidden="false" customHeight="false" outlineLevel="0" collapsed="false">
      <c r="A1" s="30" t="s">
        <v>99</v>
      </c>
    </row>
    <row r="2" customFormat="false" ht="15" hidden="false" customHeight="false" outlineLevel="0" collapsed="false">
      <c r="A2" s="2" t="s">
        <v>100</v>
      </c>
    </row>
    <row r="4" customFormat="false" ht="48" hidden="false" customHeight="true" outlineLevel="0" collapsed="false">
      <c r="A4" s="5" t="s">
        <v>101</v>
      </c>
      <c r="B4" s="5" t="s">
        <v>102</v>
      </c>
      <c r="C4" s="5" t="s">
        <v>103</v>
      </c>
    </row>
    <row r="5" customFormat="false" ht="15" hidden="false" customHeight="false" outlineLevel="0" collapsed="false">
      <c r="A5" s="14" t="s">
        <v>104</v>
      </c>
      <c r="B5" s="35" t="n">
        <v>6000</v>
      </c>
      <c r="C5" s="16" t="s">
        <v>105</v>
      </c>
    </row>
    <row r="6" customFormat="false" ht="15" hidden="false" customHeight="false" outlineLevel="0" collapsed="false">
      <c r="A6" s="14" t="s">
        <v>106</v>
      </c>
      <c r="B6" s="35" t="n">
        <v>4000</v>
      </c>
      <c r="C6" s="16" t="s">
        <v>107</v>
      </c>
    </row>
    <row r="7" customFormat="false" ht="15" hidden="false" customHeight="false" outlineLevel="0" collapsed="false">
      <c r="A7" s="14" t="s">
        <v>108</v>
      </c>
      <c r="B7" s="35" t="n">
        <v>5000</v>
      </c>
      <c r="C7" s="16" t="s">
        <v>109</v>
      </c>
    </row>
    <row r="8" customFormat="false" ht="15" hidden="false" customHeight="false" outlineLevel="0" collapsed="false">
      <c r="A8" s="14" t="s">
        <v>110</v>
      </c>
      <c r="B8" s="35" t="n">
        <v>30000</v>
      </c>
      <c r="C8" s="16" t="s">
        <v>111</v>
      </c>
    </row>
    <row r="9" customFormat="false" ht="15" hidden="false" customHeight="false" outlineLevel="0" collapsed="false">
      <c r="A9" s="14" t="s">
        <v>112</v>
      </c>
      <c r="B9" s="35" t="n">
        <v>0</v>
      </c>
      <c r="C9" s="16"/>
    </row>
    <row r="10" customFormat="false" ht="15" hidden="false" customHeight="false" outlineLevel="0" collapsed="false">
      <c r="A10" s="20" t="s">
        <v>113</v>
      </c>
      <c r="B10" s="36" t="n">
        <f aca="false">SUM(B5:B9)</f>
        <v>45000</v>
      </c>
    </row>
  </sheetData>
  <printOptions headings="false" gridLines="false" gridLinesSet="true" horizontalCentered="false" verticalCentered="false"/>
  <pageMargins left="0.75" right="0.75" top="1" bottom="1" header="0.511811023622047" footer="0.5"/>
  <pageSetup paperSize="9" scale="100" fitToWidth="1" fitToHeight="1" pageOrder="downThenOver" orientation="portrait" blackAndWhite="false" draft="false" cellComments="none" horizontalDpi="300" verticalDpi="300" copies="1"/>
  <headerFooter differentFirst="false" differentOddEven="false">
    <oddHeader/>
    <oddFooter>&amp;L&amp;8 AI Daily by Nikhil Nan&amp;C&amp;8 &amp;A&amp;R&amp;8 CC BY 4.0 · Version 1.0</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20"/>
    <col collapsed="false" customWidth="true" hidden="false" outlineLevel="0" max="3" min="3" style="0" width="12"/>
    <col collapsed="false" customWidth="true" hidden="false" outlineLevel="0" max="5" min="4" style="0" width="11"/>
    <col collapsed="false" customWidth="true" hidden="false" outlineLevel="0" max="8" min="6" style="0" width="12"/>
    <col collapsed="false" customWidth="true" hidden="false" outlineLevel="0" max="16" min="9" style="0" width="11"/>
    <col collapsed="false" customWidth="true" hidden="false" outlineLevel="0" max="17" min="17" style="0" width="28"/>
  </cols>
  <sheetData>
    <row r="1" customFormat="false" ht="17.35" hidden="false" customHeight="false" outlineLevel="0" collapsed="false">
      <c r="A1" s="30" t="s">
        <v>114</v>
      </c>
    </row>
    <row r="2" customFormat="false" ht="15" hidden="false" customHeight="false" outlineLevel="0" collapsed="false">
      <c r="A2" s="2" t="s">
        <v>115</v>
      </c>
    </row>
    <row r="4" customFormat="false" ht="48" hidden="false" customHeight="true" outlineLevel="0" collapsed="false">
      <c r="A4" s="5" t="s">
        <v>116</v>
      </c>
      <c r="B4" s="5" t="s">
        <v>117</v>
      </c>
      <c r="C4" s="5" t="s">
        <v>118</v>
      </c>
      <c r="D4" s="5" t="s">
        <v>85</v>
      </c>
      <c r="E4" s="5" t="s">
        <v>119</v>
      </c>
      <c r="F4" s="5" t="s">
        <v>120</v>
      </c>
      <c r="G4" s="5" t="s">
        <v>121</v>
      </c>
      <c r="H4" s="5" t="s">
        <v>122</v>
      </c>
      <c r="I4" s="5" t="s">
        <v>123</v>
      </c>
      <c r="J4" s="5" t="s">
        <v>124</v>
      </c>
      <c r="K4" s="5" t="s">
        <v>125</v>
      </c>
      <c r="L4" s="5" t="s">
        <v>126</v>
      </c>
      <c r="M4" s="5" t="s">
        <v>127</v>
      </c>
      <c r="N4" s="5" t="s">
        <v>128</v>
      </c>
      <c r="O4" s="5" t="s">
        <v>129</v>
      </c>
      <c r="P4" s="5" t="s">
        <v>130</v>
      </c>
      <c r="Q4" s="5" t="s">
        <v>131</v>
      </c>
    </row>
    <row r="5" customFormat="false" ht="15" hidden="false" customHeight="false" outlineLevel="0" collapsed="false">
      <c r="A5" s="14" t="s">
        <v>13</v>
      </c>
      <c r="B5" s="14" t="s">
        <v>132</v>
      </c>
      <c r="C5" s="9" t="n">
        <v>60000</v>
      </c>
      <c r="D5" s="14" t="s">
        <v>92</v>
      </c>
      <c r="E5" s="10" t="n">
        <v>6</v>
      </c>
      <c r="F5" s="9" t="n">
        <v>9000</v>
      </c>
      <c r="G5" s="9" t="n">
        <v>400</v>
      </c>
      <c r="H5" s="9" t="n">
        <v>600</v>
      </c>
      <c r="I5" s="37" t="n">
        <v>0.6</v>
      </c>
      <c r="J5" s="37" t="n">
        <v>0</v>
      </c>
      <c r="K5" s="12" t="n">
        <v>0.08</v>
      </c>
      <c r="L5" s="12" t="n">
        <v>0.78</v>
      </c>
      <c r="M5" s="10" t="n">
        <v>1</v>
      </c>
      <c r="N5" s="10" t="n">
        <v>9</v>
      </c>
      <c r="O5" s="11" t="n">
        <v>32</v>
      </c>
      <c r="P5" s="12" t="n">
        <v>0.9</v>
      </c>
      <c r="Q5" s="14" t="s">
        <v>133</v>
      </c>
    </row>
    <row r="6" customFormat="false" ht="15" hidden="false" customHeight="false" outlineLevel="0" collapsed="false">
      <c r="A6" s="14" t="s">
        <v>14</v>
      </c>
      <c r="B6" s="14" t="s">
        <v>134</v>
      </c>
      <c r="C6" s="9" t="n">
        <v>3000</v>
      </c>
      <c r="D6" s="14" t="s">
        <v>90</v>
      </c>
      <c r="E6" s="10" t="n">
        <v>3</v>
      </c>
      <c r="F6" s="9" t="n">
        <v>60000</v>
      </c>
      <c r="G6" s="9" t="n">
        <v>2500</v>
      </c>
      <c r="H6" s="9" t="n">
        <v>4000</v>
      </c>
      <c r="I6" s="37" t="n">
        <v>0.2</v>
      </c>
      <c r="J6" s="37" t="n">
        <v>1</v>
      </c>
      <c r="K6" s="12" t="n">
        <v>0.05</v>
      </c>
      <c r="L6" s="12" t="n">
        <v>0.9</v>
      </c>
      <c r="M6" s="10" t="n">
        <v>12</v>
      </c>
      <c r="N6" s="10" t="n">
        <v>75</v>
      </c>
      <c r="O6" s="11" t="n">
        <v>85</v>
      </c>
      <c r="P6" s="12" t="n">
        <v>0.8</v>
      </c>
      <c r="Q6" s="14" t="s">
        <v>135</v>
      </c>
    </row>
    <row r="7" customFormat="false" ht="15" hidden="false" customHeight="false" outlineLevel="0" collapsed="false">
      <c r="A7" s="14" t="s">
        <v>15</v>
      </c>
      <c r="B7" s="14" t="s">
        <v>136</v>
      </c>
      <c r="C7" s="9" t="n">
        <v>25000</v>
      </c>
      <c r="D7" s="14" t="s">
        <v>94</v>
      </c>
      <c r="E7" s="10" t="n">
        <v>2</v>
      </c>
      <c r="F7" s="9" t="n">
        <v>4000</v>
      </c>
      <c r="G7" s="9" t="n">
        <v>300</v>
      </c>
      <c r="H7" s="9" t="n">
        <v>0</v>
      </c>
      <c r="I7" s="37" t="n">
        <v>0.7</v>
      </c>
      <c r="J7" s="37" t="n">
        <v>0.5</v>
      </c>
      <c r="K7" s="12" t="n">
        <v>0.03</v>
      </c>
      <c r="L7" s="12" t="n">
        <v>0.85</v>
      </c>
      <c r="M7" s="10" t="n">
        <v>1.5</v>
      </c>
      <c r="N7" s="10" t="n">
        <v>8</v>
      </c>
      <c r="O7" s="11" t="n">
        <v>28</v>
      </c>
      <c r="P7" s="12" t="n">
        <v>1</v>
      </c>
      <c r="Q7" s="14" t="s">
        <v>137</v>
      </c>
    </row>
    <row r="8" customFormat="false" ht="15" hidden="false" customHeight="false" outlineLevel="0" collapsed="false">
      <c r="A8" s="14" t="s">
        <v>16</v>
      </c>
      <c r="B8" s="14" t="s">
        <v>138</v>
      </c>
      <c r="C8" s="9" t="n">
        <v>150000</v>
      </c>
      <c r="D8" s="14" t="s">
        <v>92</v>
      </c>
      <c r="E8" s="10" t="n">
        <v>1.5</v>
      </c>
      <c r="F8" s="9" t="n">
        <v>7000</v>
      </c>
      <c r="G8" s="9" t="n">
        <v>450</v>
      </c>
      <c r="H8" s="9" t="n">
        <v>300</v>
      </c>
      <c r="I8" s="37" t="n">
        <v>0.4</v>
      </c>
      <c r="J8" s="37" t="n">
        <v>0</v>
      </c>
      <c r="K8" s="12" t="n">
        <v>0.1</v>
      </c>
      <c r="L8" s="12" t="n">
        <v>0.7</v>
      </c>
      <c r="M8" s="10" t="n">
        <v>0</v>
      </c>
      <c r="N8" s="10" t="n">
        <v>4</v>
      </c>
      <c r="O8" s="11" t="n">
        <v>45</v>
      </c>
      <c r="P8" s="12" t="n">
        <v>0.4</v>
      </c>
      <c r="Q8" s="14" t="s">
        <v>139</v>
      </c>
    </row>
    <row r="9" customFormat="false" ht="15" hidden="false" customHeight="false" outlineLevel="0" collapsed="false">
      <c r="A9" s="14"/>
      <c r="B9" s="14"/>
      <c r="C9" s="9"/>
      <c r="D9" s="14"/>
      <c r="E9" s="10"/>
      <c r="F9" s="9"/>
      <c r="G9" s="9"/>
      <c r="H9" s="9"/>
      <c r="I9" s="37"/>
      <c r="J9" s="37"/>
      <c r="K9" s="37"/>
      <c r="L9" s="37"/>
      <c r="M9" s="10"/>
      <c r="N9" s="10"/>
      <c r="O9" s="11"/>
      <c r="P9" s="37"/>
      <c r="Q9" s="14"/>
    </row>
    <row r="10" customFormat="false" ht="15" hidden="false" customHeight="false" outlineLevel="0" collapsed="false">
      <c r="A10" s="14"/>
      <c r="B10" s="14"/>
      <c r="C10" s="9"/>
      <c r="D10" s="14"/>
      <c r="E10" s="10"/>
      <c r="F10" s="9"/>
      <c r="G10" s="9"/>
      <c r="H10" s="9"/>
      <c r="I10" s="37"/>
      <c r="J10" s="37"/>
      <c r="K10" s="37"/>
      <c r="L10" s="37"/>
      <c r="M10" s="10"/>
      <c r="N10" s="10"/>
      <c r="O10" s="11"/>
      <c r="P10" s="37"/>
      <c r="Q10" s="14"/>
    </row>
    <row r="11" customFormat="false" ht="15" hidden="false" customHeight="false" outlineLevel="0" collapsed="false">
      <c r="A11" s="14"/>
      <c r="B11" s="14"/>
      <c r="C11" s="9"/>
      <c r="D11" s="14"/>
      <c r="E11" s="10"/>
      <c r="F11" s="9"/>
      <c r="G11" s="9"/>
      <c r="H11" s="9"/>
      <c r="I11" s="37"/>
      <c r="J11" s="37"/>
      <c r="K11" s="37"/>
      <c r="L11" s="37"/>
      <c r="M11" s="10"/>
      <c r="N11" s="10"/>
      <c r="O11" s="11"/>
      <c r="P11" s="37"/>
      <c r="Q11" s="14"/>
    </row>
    <row r="12" customFormat="false" ht="15" hidden="false" customHeight="false" outlineLevel="0" collapsed="false">
      <c r="A12" s="14"/>
      <c r="B12" s="14"/>
      <c r="C12" s="9"/>
      <c r="D12" s="14"/>
      <c r="E12" s="10"/>
      <c r="F12" s="9"/>
      <c r="G12" s="9"/>
      <c r="H12" s="9"/>
      <c r="I12" s="37"/>
      <c r="J12" s="37"/>
      <c r="K12" s="37"/>
      <c r="L12" s="37"/>
      <c r="M12" s="10"/>
      <c r="N12" s="10"/>
      <c r="O12" s="11"/>
      <c r="P12" s="37"/>
      <c r="Q12" s="14"/>
    </row>
    <row r="14" customFormat="false" ht="15" hidden="false" customHeight="false" outlineLevel="0" collapsed="false">
      <c r="A14" s="2" t="s">
        <v>140</v>
      </c>
    </row>
  </sheetData>
  <dataValidations count="1">
    <dataValidation allowBlank="true" errorStyle="stop" operator="between" showDropDown="false" showErrorMessage="false" showInputMessage="false" sqref="D5:D12" type="list">
      <formula1>'Rate Card'!$A$5:$A$7</formula1>
      <formula2>0</formula2>
    </dataValidation>
  </dataValidations>
  <printOptions headings="false" gridLines="false" gridLinesSet="true" horizontalCentered="false" verticalCentered="false"/>
  <pageMargins left="0.75" right="0.75" top="1" bottom="1" header="0.511811023622047" footer="0.5"/>
  <pageSetup paperSize="9" scale="100" fitToWidth="1" fitToHeight="1" pageOrder="downThenOver" orientation="portrait" blackAndWhite="false" draft="false" cellComments="none" horizontalDpi="300" verticalDpi="300" copies="1"/>
  <headerFooter differentFirst="false" differentOddEven="false">
    <oddHeader/>
    <oddFooter>&amp;L&amp;8 AI Daily by Nikhil Nan&amp;C&amp;8 &amp;A&amp;R&amp;8 CC BY 4.0 · Version 1.0</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7" min="2" style="0" width="13"/>
  </cols>
  <sheetData>
    <row r="1" customFormat="false" ht="17.35" hidden="false" customHeight="false" outlineLevel="0" collapsed="false">
      <c r="A1" s="30" t="s">
        <v>141</v>
      </c>
    </row>
    <row r="2" customFormat="false" ht="15" hidden="false" customHeight="false" outlineLevel="0" collapsed="false">
      <c r="A2" s="2" t="s">
        <v>142</v>
      </c>
    </row>
    <row r="4" customFormat="false" ht="48" hidden="false" customHeight="true" outlineLevel="0" collapsed="false">
      <c r="A4" s="5" t="s">
        <v>116</v>
      </c>
      <c r="B4" s="5" t="s">
        <v>85</v>
      </c>
      <c r="C4" s="5" t="s">
        <v>143</v>
      </c>
      <c r="D4" s="5" t="s">
        <v>144</v>
      </c>
      <c r="E4" s="5" t="s">
        <v>145</v>
      </c>
      <c r="F4" s="5" t="s">
        <v>146</v>
      </c>
      <c r="G4" s="5" t="s">
        <v>147</v>
      </c>
      <c r="H4" s="5" t="s">
        <v>148</v>
      </c>
      <c r="I4" s="5" t="s">
        <v>149</v>
      </c>
      <c r="J4" s="5" t="s">
        <v>150</v>
      </c>
      <c r="K4" s="5" t="s">
        <v>151</v>
      </c>
      <c r="L4" s="5" t="s">
        <v>152</v>
      </c>
      <c r="M4" s="5" t="s">
        <v>153</v>
      </c>
      <c r="N4" s="5" t="s">
        <v>154</v>
      </c>
      <c r="O4" s="5" t="s">
        <v>155</v>
      </c>
      <c r="P4" s="5" t="s">
        <v>156</v>
      </c>
      <c r="Q4" s="5" t="s">
        <v>157</v>
      </c>
      <c r="R4" s="5" t="s">
        <v>158</v>
      </c>
      <c r="S4" s="5" t="s">
        <v>159</v>
      </c>
      <c r="T4" s="5" t="s">
        <v>160</v>
      </c>
      <c r="U4" s="5" t="s">
        <v>161</v>
      </c>
      <c r="V4" s="5" t="s">
        <v>162</v>
      </c>
      <c r="W4" s="5" t="s">
        <v>163</v>
      </c>
      <c r="X4" s="5" t="s">
        <v>164</v>
      </c>
      <c r="Y4" s="5" t="s">
        <v>165</v>
      </c>
      <c r="Z4" s="5" t="s">
        <v>166</v>
      </c>
      <c r="AA4" s="5" t="s">
        <v>167</v>
      </c>
    </row>
    <row r="5" customFormat="false" ht="15" hidden="false" customHeight="false" outlineLevel="0" collapsed="false">
      <c r="A5" s="38" t="str">
        <f aca="false">IF('Use Cases'!A5="","",'Use Cases'!A5)</f>
        <v>Customer service agent</v>
      </c>
      <c r="B5" s="38" t="str">
        <f aca="false">IF('Use Cases'!D5="","",'Use Cases'!D5)</f>
        <v>Mid</v>
      </c>
      <c r="C5" s="39" t="n">
        <f aca="false">'Use Cases'!C5*'Use Cases'!E5*(1+'Use Cases'!K5)</f>
        <v>388800</v>
      </c>
      <c r="D5" s="40" t="n">
        <f aca="false">C5*'Use Cases'!F5/1000000</f>
        <v>3499.2</v>
      </c>
      <c r="E5" s="40" t="n">
        <f aca="false">C5*('Use Cases'!G5+'Use Cases'!H5)/1000000</f>
        <v>388.8</v>
      </c>
      <c r="F5" s="41" t="n">
        <f aca="false">1-'Use Cases'!J5*'Rate Card'!$B$9</f>
        <v>1</v>
      </c>
      <c r="G5" s="26" t="n">
        <f aca="false">IF(B5="",0,D5*(1-'Use Cases'!I5)*INDEX('Rate Card'!$B$5:$B$7,MATCH('Use Cases'!$D5,'Rate Card'!$A$5:$A$7,0))*F5)</f>
        <v>2799.36</v>
      </c>
      <c r="H5" s="26" t="n">
        <f aca="false">IF(B5="",0,D5*'Use Cases'!I5*INDEX('Rate Card'!$C$5:$C$7,MATCH('Use Cases'!$D5,'Rate Card'!$A$5:$A$7,0))*F5)</f>
        <v>419.904</v>
      </c>
      <c r="I5" s="26" t="n">
        <f aca="false">IF(B5="",0,E5*INDEX('Rate Card'!$D$5:$D$7,MATCH('Use Cases'!$D5,'Rate Card'!$A$5:$A$7,0))*F5)</f>
        <v>3888</v>
      </c>
      <c r="J5" s="26" t="n">
        <f aca="false">G5+H5+I5</f>
        <v>7107.264</v>
      </c>
      <c r="K5" s="26" t="n">
        <f aca="false">IF($J$13=0,0,J5/$J$13*'Platform Costs'!$B$10)</f>
        <v>24286.6628732387</v>
      </c>
      <c r="L5" s="26" t="n">
        <f aca="false">J5+K5</f>
        <v>31393.9268732387</v>
      </c>
      <c r="M5" s="29" t="n">
        <f aca="false">IF('Use Cases'!C5=0,0,J5/'Use Cases'!C5)</f>
        <v>0.1184544</v>
      </c>
      <c r="N5" s="29" t="n">
        <f aca="false">IF('Use Cases'!C5=0,0,L5/'Use Cases'!C5)</f>
        <v>0.523232114553978</v>
      </c>
      <c r="O5" s="29" t="n">
        <f aca="false">IF('Use Cases'!L5=0,0,N5/'Use Cases'!L5)</f>
        <v>0.67081040327433</v>
      </c>
      <c r="P5" s="42" t="n">
        <f aca="false">('Use Cases'!M5+(1-'Use Cases'!L5)*'Use Cases'!N5)/60*'Use Cases'!O5</f>
        <v>1.58933333333333</v>
      </c>
      <c r="Q5" s="42" t="n">
        <f aca="false">'Use Cases'!N5/60*'Use Cases'!O5</f>
        <v>4.8</v>
      </c>
      <c r="R5" s="42" t="n">
        <f aca="false">Q5-P5</f>
        <v>3.21066666666667</v>
      </c>
      <c r="S5" s="42" t="n">
        <f aca="false">R5*'Use Cases'!P5</f>
        <v>2.8896</v>
      </c>
      <c r="T5" s="42" t="n">
        <f aca="false">S5-N5</f>
        <v>2.36636788544602</v>
      </c>
      <c r="U5" s="26" t="n">
        <f aca="false">T5*'Use Cases'!C5</f>
        <v>141982.073126761</v>
      </c>
      <c r="V5" s="43" t="n">
        <f aca="false">IF(L5=0,0,U5/L5)</f>
        <v>4.52259679714652</v>
      </c>
      <c r="W5" s="42" t="n">
        <f aca="false">M5+T5</f>
        <v>2.48482228544602</v>
      </c>
      <c r="X5" s="43" t="n">
        <f aca="false">IF(M5=0,0,W5/M5)</f>
        <v>20.977036610257</v>
      </c>
      <c r="Y5" s="40" t="n">
        <f aca="false">'Use Cases'!E5*(1+'Use Cases'!K5)*('Use Cases'!F5+'Use Cases'!G5+'Use Cases'!H5)/1000</f>
        <v>64.8</v>
      </c>
      <c r="Z5" s="41" t="n">
        <f aca="false">IF(J5=0,0,I5/J5)</f>
        <v>0.547045951859956</v>
      </c>
      <c r="AA5" s="26" t="n">
        <f aca="false">S5*'Use Cases'!C5</f>
        <v>173376</v>
      </c>
    </row>
    <row r="6" customFormat="false" ht="15" hidden="false" customHeight="false" outlineLevel="0" collapsed="false">
      <c r="A6" s="38" t="str">
        <f aca="false">IF('Use Cases'!A6="","",'Use Cases'!A6)</f>
        <v>Contract clause extraction</v>
      </c>
      <c r="B6" s="38" t="str">
        <f aca="false">IF('Use Cases'!D6="","",'Use Cases'!D6)</f>
        <v>Frontier</v>
      </c>
      <c r="C6" s="39" t="n">
        <f aca="false">'Use Cases'!C6*'Use Cases'!E6*(1+'Use Cases'!K6)</f>
        <v>9450</v>
      </c>
      <c r="D6" s="40" t="n">
        <f aca="false">C6*'Use Cases'!F6/1000000</f>
        <v>567</v>
      </c>
      <c r="E6" s="40" t="n">
        <f aca="false">C6*('Use Cases'!G6+'Use Cases'!H6)/1000000</f>
        <v>61.425</v>
      </c>
      <c r="F6" s="41" t="n">
        <f aca="false">1-'Use Cases'!J6*'Rate Card'!$B$9</f>
        <v>0.5</v>
      </c>
      <c r="G6" s="26" t="n">
        <f aca="false">IF(B6="",0,D6*(1-'Use Cases'!I6)*INDEX('Rate Card'!$B$5:$B$7,MATCH('Use Cases'!$D6,'Rate Card'!$A$5:$A$7,0))*F6)</f>
        <v>1134</v>
      </c>
      <c r="H6" s="26" t="n">
        <f aca="false">IF(B6="",0,D6*'Use Cases'!I6*INDEX('Rate Card'!$C$5:$C$7,MATCH('Use Cases'!$D6,'Rate Card'!$A$5:$A$7,0))*F6)</f>
        <v>28.35</v>
      </c>
      <c r="I6" s="26" t="n">
        <f aca="false">IF(B6="",0,E6*INDEX('Rate Card'!$D$5:$D$7,MATCH('Use Cases'!$D6,'Rate Card'!$A$5:$A$7,0))*F6)</f>
        <v>767.8125</v>
      </c>
      <c r="J6" s="26" t="n">
        <f aca="false">G6+H6+I6</f>
        <v>1930.1625</v>
      </c>
      <c r="K6" s="26" t="n">
        <f aca="false">IF($J$13=0,0,J6/$J$13*'Platform Costs'!$B$10)</f>
        <v>6595.6753439956</v>
      </c>
      <c r="L6" s="26" t="n">
        <f aca="false">J6+K6</f>
        <v>8525.83784399559</v>
      </c>
      <c r="M6" s="29" t="n">
        <f aca="false">IF('Use Cases'!C6=0,0,J6/'Use Cases'!C6)</f>
        <v>0.6433875</v>
      </c>
      <c r="N6" s="29" t="n">
        <f aca="false">IF('Use Cases'!C6=0,0,L6/'Use Cases'!C6)</f>
        <v>2.84194594799853</v>
      </c>
      <c r="O6" s="29" t="n">
        <f aca="false">IF('Use Cases'!L6=0,0,N6/'Use Cases'!L6)</f>
        <v>3.15771771999837</v>
      </c>
      <c r="P6" s="42" t="n">
        <f aca="false">('Use Cases'!M6+(1-'Use Cases'!L6)*'Use Cases'!N6)/60*'Use Cases'!O6</f>
        <v>27.625</v>
      </c>
      <c r="Q6" s="42" t="n">
        <f aca="false">'Use Cases'!N6/60*'Use Cases'!O6</f>
        <v>106.25</v>
      </c>
      <c r="R6" s="42" t="n">
        <f aca="false">Q6-P6</f>
        <v>78.625</v>
      </c>
      <c r="S6" s="42" t="n">
        <f aca="false">R6*'Use Cases'!P6</f>
        <v>62.9</v>
      </c>
      <c r="T6" s="42" t="n">
        <f aca="false">S6-N6</f>
        <v>60.0580540520015</v>
      </c>
      <c r="U6" s="26" t="n">
        <f aca="false">T6*'Use Cases'!C6</f>
        <v>180174.162156004</v>
      </c>
      <c r="V6" s="43" t="n">
        <f aca="false">IF(L6=0,0,U6/L6)</f>
        <v>21.13272213861</v>
      </c>
      <c r="W6" s="42" t="n">
        <f aca="false">M6+T6</f>
        <v>60.7014415520015</v>
      </c>
      <c r="X6" s="43" t="n">
        <f aca="false">IF(M6=0,0,W6/M6)</f>
        <v>94.3466286677958</v>
      </c>
      <c r="Y6" s="40" t="n">
        <f aca="false">'Use Cases'!E6*(1+'Use Cases'!K6)*('Use Cases'!F6+'Use Cases'!G6+'Use Cases'!H6)/1000</f>
        <v>209.475</v>
      </c>
      <c r="Z6" s="41" t="n">
        <f aca="false">IF(J6=0,0,I6/J6)</f>
        <v>0.397796817625459</v>
      </c>
      <c r="AA6" s="26" t="n">
        <f aca="false">S6*'Use Cases'!C6</f>
        <v>188700</v>
      </c>
    </row>
    <row r="7" customFormat="false" ht="15" hidden="false" customHeight="false" outlineLevel="0" collapsed="false">
      <c r="A7" s="38" t="str">
        <f aca="false">IF('Use Cases'!A7="","",'Use Cases'!A7)</f>
        <v>Invoice exception triage</v>
      </c>
      <c r="B7" s="38" t="str">
        <f aca="false">IF('Use Cases'!D7="","",'Use Cases'!D7)</f>
        <v>Small</v>
      </c>
      <c r="C7" s="39" t="n">
        <f aca="false">'Use Cases'!C7*'Use Cases'!E7*(1+'Use Cases'!K7)</f>
        <v>51500</v>
      </c>
      <c r="D7" s="40" t="n">
        <f aca="false">C7*'Use Cases'!F7/1000000</f>
        <v>206</v>
      </c>
      <c r="E7" s="40" t="n">
        <f aca="false">C7*('Use Cases'!G7+'Use Cases'!H7)/1000000</f>
        <v>15.45</v>
      </c>
      <c r="F7" s="41" t="n">
        <f aca="false">1-'Use Cases'!J7*'Rate Card'!$B$9</f>
        <v>0.75</v>
      </c>
      <c r="G7" s="26" t="n">
        <f aca="false">IF(B7="",0,D7*(1-'Use Cases'!I7)*INDEX('Rate Card'!$B$5:$B$7,MATCH('Use Cases'!$D7,'Rate Card'!$A$5:$A$7,0))*F7)</f>
        <v>23.175</v>
      </c>
      <c r="H7" s="26" t="n">
        <f aca="false">IF(B7="",0,D7*'Use Cases'!I7*INDEX('Rate Card'!$C$5:$C$7,MATCH('Use Cases'!$D7,'Rate Card'!$A$5:$A$7,0))*F7)</f>
        <v>5.4075</v>
      </c>
      <c r="I7" s="26" t="n">
        <f aca="false">IF(B7="",0,E7*INDEX('Rate Card'!$D$5:$D$7,MATCH('Use Cases'!$D7,'Rate Card'!$A$5:$A$7,0))*F7)</f>
        <v>28.96875</v>
      </c>
      <c r="J7" s="26" t="n">
        <f aca="false">G7+H7+I7</f>
        <v>57.55125</v>
      </c>
      <c r="K7" s="26" t="n">
        <f aca="false">IF($J$13=0,0,J7/$J$13*'Platform Costs'!$B$10)</f>
        <v>196.661866884849</v>
      </c>
      <c r="L7" s="26" t="n">
        <f aca="false">J7+K7</f>
        <v>254.213116884849</v>
      </c>
      <c r="M7" s="29" t="n">
        <f aca="false">IF('Use Cases'!C7=0,0,J7/'Use Cases'!C7)</f>
        <v>0.00230205</v>
      </c>
      <c r="N7" s="29" t="n">
        <f aca="false">IF('Use Cases'!C7=0,0,L7/'Use Cases'!C7)</f>
        <v>0.0101685246753939</v>
      </c>
      <c r="O7" s="29" t="n">
        <f aca="false">IF('Use Cases'!L7=0,0,N7/'Use Cases'!L7)</f>
        <v>0.0119629702063458</v>
      </c>
      <c r="P7" s="42" t="n">
        <f aca="false">('Use Cases'!M7+(1-'Use Cases'!L7)*'Use Cases'!N7)/60*'Use Cases'!O7</f>
        <v>1.26</v>
      </c>
      <c r="Q7" s="42" t="n">
        <f aca="false">'Use Cases'!N7/60*'Use Cases'!O7</f>
        <v>3.73333333333333</v>
      </c>
      <c r="R7" s="42" t="n">
        <f aca="false">Q7-P7</f>
        <v>2.47333333333333</v>
      </c>
      <c r="S7" s="42" t="n">
        <f aca="false">R7*'Use Cases'!P7</f>
        <v>2.47333333333333</v>
      </c>
      <c r="T7" s="42" t="n">
        <f aca="false">S7-N7</f>
        <v>2.46316480865794</v>
      </c>
      <c r="U7" s="26" t="n">
        <f aca="false">T7*'Use Cases'!C7</f>
        <v>61579.1202164485</v>
      </c>
      <c r="V7" s="43" t="n">
        <f aca="false">IF(L7=0,0,U7/L7)</f>
        <v>242.234236262254</v>
      </c>
      <c r="W7" s="42" t="n">
        <f aca="false">M7+T7</f>
        <v>2.46546685865794</v>
      </c>
      <c r="X7" s="43" t="n">
        <f aca="false">IF(M7=0,0,W7/M7)</f>
        <v>1070.98753661212</v>
      </c>
      <c r="Y7" s="40" t="n">
        <f aca="false">'Use Cases'!E7*(1+'Use Cases'!K7)*('Use Cases'!F7+'Use Cases'!G7+'Use Cases'!H7)/1000</f>
        <v>8.858</v>
      </c>
      <c r="Z7" s="41" t="n">
        <f aca="false">IF(J7=0,0,I7/J7)</f>
        <v>0.503355704697987</v>
      </c>
      <c r="AA7" s="26" t="n">
        <f aca="false">S7*'Use Cases'!C7</f>
        <v>61833.3333333333</v>
      </c>
    </row>
    <row r="8" customFormat="false" ht="15" hidden="false" customHeight="false" outlineLevel="0" collapsed="false">
      <c r="A8" s="38" t="str">
        <f aca="false">IF('Use Cases'!A8="","",'Use Cases'!A8)</f>
        <v>Internal knowledge assistant</v>
      </c>
      <c r="B8" s="38" t="str">
        <f aca="false">IF('Use Cases'!D8="","",'Use Cases'!D8)</f>
        <v>Mid</v>
      </c>
      <c r="C8" s="39" t="n">
        <f aca="false">'Use Cases'!C8*'Use Cases'!E8*(1+'Use Cases'!K8)</f>
        <v>247500</v>
      </c>
      <c r="D8" s="40" t="n">
        <f aca="false">C8*'Use Cases'!F8/1000000</f>
        <v>1732.5</v>
      </c>
      <c r="E8" s="40" t="n">
        <f aca="false">C8*('Use Cases'!G8+'Use Cases'!H8)/1000000</f>
        <v>185.625</v>
      </c>
      <c r="F8" s="41" t="n">
        <f aca="false">1-'Use Cases'!J8*'Rate Card'!$B$9</f>
        <v>1</v>
      </c>
      <c r="G8" s="26" t="n">
        <f aca="false">IF(B8="",0,D8*(1-'Use Cases'!I8)*INDEX('Rate Card'!$B$5:$B$7,MATCH('Use Cases'!$D8,'Rate Card'!$A$5:$A$7,0))*F8)</f>
        <v>2079</v>
      </c>
      <c r="H8" s="26" t="n">
        <f aca="false">IF(B8="",0,D8*'Use Cases'!I8*INDEX('Rate Card'!$C$5:$C$7,MATCH('Use Cases'!$D8,'Rate Card'!$A$5:$A$7,0))*F8)</f>
        <v>138.6</v>
      </c>
      <c r="I8" s="26" t="n">
        <f aca="false">IF(B8="",0,E8*INDEX('Rate Card'!$D$5:$D$7,MATCH('Use Cases'!$D8,'Rate Card'!$A$5:$A$7,0))*F8)</f>
        <v>1856.25</v>
      </c>
      <c r="J8" s="26" t="n">
        <f aca="false">G8+H8+I8</f>
        <v>4073.85</v>
      </c>
      <c r="K8" s="26" t="n">
        <f aca="false">IF($J$13=0,0,J8/$J$13*'Platform Costs'!$B$10)</f>
        <v>13920.9999158809</v>
      </c>
      <c r="L8" s="26" t="n">
        <f aca="false">J8+K8</f>
        <v>17994.8499158809</v>
      </c>
      <c r="M8" s="29" t="n">
        <f aca="false">IF('Use Cases'!C8=0,0,J8/'Use Cases'!C8)</f>
        <v>0.027159</v>
      </c>
      <c r="N8" s="29" t="n">
        <f aca="false">IF('Use Cases'!C8=0,0,L8/'Use Cases'!C8)</f>
        <v>0.119965666105873</v>
      </c>
      <c r="O8" s="29" t="n">
        <f aca="false">IF('Use Cases'!L8=0,0,N8/'Use Cases'!L8)</f>
        <v>0.17137952300839</v>
      </c>
      <c r="P8" s="42" t="n">
        <f aca="false">('Use Cases'!M8+(1-'Use Cases'!L8)*'Use Cases'!N8)/60*'Use Cases'!O8</f>
        <v>0.9</v>
      </c>
      <c r="Q8" s="42" t="n">
        <f aca="false">'Use Cases'!N8/60*'Use Cases'!O8</f>
        <v>3</v>
      </c>
      <c r="R8" s="42" t="n">
        <f aca="false">Q8-P8</f>
        <v>2.1</v>
      </c>
      <c r="S8" s="42" t="n">
        <f aca="false">R8*'Use Cases'!P8</f>
        <v>0.84</v>
      </c>
      <c r="T8" s="42" t="n">
        <f aca="false">S8-N8</f>
        <v>0.720034333894127</v>
      </c>
      <c r="U8" s="26" t="n">
        <f aca="false">T8*'Use Cases'!C8</f>
        <v>108005.150084119</v>
      </c>
      <c r="V8" s="43" t="n">
        <f aca="false">IF(L8=0,0,U8/L8)</f>
        <v>6.00200338369046</v>
      </c>
      <c r="W8" s="42" t="n">
        <f aca="false">M8+T8</f>
        <v>0.747193333894127</v>
      </c>
      <c r="X8" s="43" t="n">
        <f aca="false">IF(M8=0,0,W8/M8)</f>
        <v>27.5118131703718</v>
      </c>
      <c r="Y8" s="40" t="n">
        <f aca="false">'Use Cases'!E8*(1+'Use Cases'!K8)*('Use Cases'!F8+'Use Cases'!G8+'Use Cases'!H8)/1000</f>
        <v>12.7875</v>
      </c>
      <c r="Z8" s="41" t="n">
        <f aca="false">IF(J8=0,0,I8/J8)</f>
        <v>0.455650060753341</v>
      </c>
      <c r="AA8" s="26" t="n">
        <f aca="false">S8*'Use Cases'!C8</f>
        <v>126000</v>
      </c>
    </row>
    <row r="9" customFormat="false" ht="15" hidden="false" customHeight="false" outlineLevel="0" collapsed="false">
      <c r="A9" s="38" t="str">
        <f aca="false">IF('Use Cases'!A9="","",'Use Cases'!A9)</f>
        <v/>
      </c>
      <c r="B9" s="38" t="str">
        <f aca="false">IF('Use Cases'!D9="","",'Use Cases'!D9)</f>
        <v/>
      </c>
      <c r="C9" s="39" t="n">
        <f aca="false">'Use Cases'!C9*'Use Cases'!E9*(1+'Use Cases'!K9)</f>
        <v>0</v>
      </c>
      <c r="D9" s="40" t="n">
        <f aca="false">C9*'Use Cases'!F9/1000000</f>
        <v>0</v>
      </c>
      <c r="E9" s="40" t="n">
        <f aca="false">C9*('Use Cases'!G9+'Use Cases'!H9)/1000000</f>
        <v>0</v>
      </c>
      <c r="F9" s="41" t="n">
        <f aca="false">1-'Use Cases'!J9*'Rate Card'!$B$9</f>
        <v>1</v>
      </c>
      <c r="G9" s="26" t="n">
        <f aca="false">IF(B9="",0,D9*(1-'Use Cases'!I9)*INDEX('Rate Card'!$B$5:$B$7,MATCH('Use Cases'!$D9,'Rate Card'!$A$5:$A$7,0))*F9)</f>
        <v>0</v>
      </c>
      <c r="H9" s="26" t="n">
        <f aca="false">IF(B9="",0,D9*'Use Cases'!I9*INDEX('Rate Card'!$C$5:$C$7,MATCH('Use Cases'!$D9,'Rate Card'!$A$5:$A$7,0))*F9)</f>
        <v>0</v>
      </c>
      <c r="I9" s="26" t="n">
        <f aca="false">IF(B9="",0,E9*INDEX('Rate Card'!$D$5:$D$7,MATCH('Use Cases'!$D9,'Rate Card'!$A$5:$A$7,0))*F9)</f>
        <v>0</v>
      </c>
      <c r="J9" s="26" t="n">
        <f aca="false">G9+H9+I9</f>
        <v>0</v>
      </c>
      <c r="K9" s="26" t="n">
        <f aca="false">IF($J$13=0,0,J9/$J$13*'Platform Costs'!$B$10)</f>
        <v>0</v>
      </c>
      <c r="L9" s="26" t="n">
        <f aca="false">J9+K9</f>
        <v>0</v>
      </c>
      <c r="M9" s="29" t="n">
        <f aca="false">IF('Use Cases'!C9=0,0,J9/'Use Cases'!C9)</f>
        <v>0</v>
      </c>
      <c r="N9" s="29" t="n">
        <f aca="false">IF('Use Cases'!C9=0,0,L9/'Use Cases'!C9)</f>
        <v>0</v>
      </c>
      <c r="O9" s="29" t="n">
        <f aca="false">IF('Use Cases'!L9=0,0,N9/'Use Cases'!L9)</f>
        <v>0</v>
      </c>
      <c r="P9" s="42" t="n">
        <f aca="false">('Use Cases'!M9+(1-'Use Cases'!L9)*'Use Cases'!N9)/60*'Use Cases'!O9</f>
        <v>0</v>
      </c>
      <c r="Q9" s="42" t="n">
        <f aca="false">'Use Cases'!N9/60*'Use Cases'!O9</f>
        <v>0</v>
      </c>
      <c r="R9" s="42" t="n">
        <f aca="false">Q9-P9</f>
        <v>0</v>
      </c>
      <c r="S9" s="42" t="n">
        <f aca="false">R9*'Use Cases'!P9</f>
        <v>0</v>
      </c>
      <c r="T9" s="42" t="n">
        <f aca="false">S9-N9</f>
        <v>0</v>
      </c>
      <c r="U9" s="26" t="n">
        <f aca="false">T9*'Use Cases'!C9</f>
        <v>0</v>
      </c>
      <c r="V9" s="43" t="n">
        <f aca="false">IF(L9=0,0,U9/L9)</f>
        <v>0</v>
      </c>
      <c r="W9" s="42" t="n">
        <f aca="false">M9+T9</f>
        <v>0</v>
      </c>
      <c r="X9" s="43" t="n">
        <f aca="false">IF(M9=0,0,W9/M9)</f>
        <v>0</v>
      </c>
      <c r="Y9" s="40" t="n">
        <f aca="false">'Use Cases'!E9*(1+'Use Cases'!K9)*('Use Cases'!F9+'Use Cases'!G9+'Use Cases'!H9)/1000</f>
        <v>0</v>
      </c>
      <c r="Z9" s="41" t="n">
        <f aca="false">IF(J9=0,0,I9/J9)</f>
        <v>0</v>
      </c>
      <c r="AA9" s="26" t="n">
        <f aca="false">S9*'Use Cases'!C9</f>
        <v>0</v>
      </c>
    </row>
    <row r="10" customFormat="false" ht="15" hidden="false" customHeight="false" outlineLevel="0" collapsed="false">
      <c r="A10" s="38" t="str">
        <f aca="false">IF('Use Cases'!A10="","",'Use Cases'!A10)</f>
        <v/>
      </c>
      <c r="B10" s="38" t="str">
        <f aca="false">IF('Use Cases'!D10="","",'Use Cases'!D10)</f>
        <v/>
      </c>
      <c r="C10" s="39" t="n">
        <f aca="false">'Use Cases'!C10*'Use Cases'!E10*(1+'Use Cases'!K10)</f>
        <v>0</v>
      </c>
      <c r="D10" s="40" t="n">
        <f aca="false">C10*'Use Cases'!F10/1000000</f>
        <v>0</v>
      </c>
      <c r="E10" s="40" t="n">
        <f aca="false">C10*('Use Cases'!G10+'Use Cases'!H10)/1000000</f>
        <v>0</v>
      </c>
      <c r="F10" s="41" t="n">
        <f aca="false">1-'Use Cases'!J10*'Rate Card'!$B$9</f>
        <v>1</v>
      </c>
      <c r="G10" s="26" t="n">
        <f aca="false">IF(B10="",0,D10*(1-'Use Cases'!I10)*INDEX('Rate Card'!$B$5:$B$7,MATCH('Use Cases'!$D10,'Rate Card'!$A$5:$A$7,0))*F10)</f>
        <v>0</v>
      </c>
      <c r="H10" s="26" t="n">
        <f aca="false">IF(B10="",0,D10*'Use Cases'!I10*INDEX('Rate Card'!$C$5:$C$7,MATCH('Use Cases'!$D10,'Rate Card'!$A$5:$A$7,0))*F10)</f>
        <v>0</v>
      </c>
      <c r="I10" s="26" t="n">
        <f aca="false">IF(B10="",0,E10*INDEX('Rate Card'!$D$5:$D$7,MATCH('Use Cases'!$D10,'Rate Card'!$A$5:$A$7,0))*F10)</f>
        <v>0</v>
      </c>
      <c r="J10" s="26" t="n">
        <f aca="false">G10+H10+I10</f>
        <v>0</v>
      </c>
      <c r="K10" s="26" t="n">
        <f aca="false">IF($J$13=0,0,J10/$J$13*'Platform Costs'!$B$10)</f>
        <v>0</v>
      </c>
      <c r="L10" s="26" t="n">
        <f aca="false">J10+K10</f>
        <v>0</v>
      </c>
      <c r="M10" s="29" t="n">
        <f aca="false">IF('Use Cases'!C10=0,0,J10/'Use Cases'!C10)</f>
        <v>0</v>
      </c>
      <c r="N10" s="29" t="n">
        <f aca="false">IF('Use Cases'!C10=0,0,L10/'Use Cases'!C10)</f>
        <v>0</v>
      </c>
      <c r="O10" s="29" t="n">
        <f aca="false">IF('Use Cases'!L10=0,0,N10/'Use Cases'!L10)</f>
        <v>0</v>
      </c>
      <c r="P10" s="42" t="n">
        <f aca="false">('Use Cases'!M10+(1-'Use Cases'!L10)*'Use Cases'!N10)/60*'Use Cases'!O10</f>
        <v>0</v>
      </c>
      <c r="Q10" s="42" t="n">
        <f aca="false">'Use Cases'!N10/60*'Use Cases'!O10</f>
        <v>0</v>
      </c>
      <c r="R10" s="42" t="n">
        <f aca="false">Q10-P10</f>
        <v>0</v>
      </c>
      <c r="S10" s="42" t="n">
        <f aca="false">R10*'Use Cases'!P10</f>
        <v>0</v>
      </c>
      <c r="T10" s="42" t="n">
        <f aca="false">S10-N10</f>
        <v>0</v>
      </c>
      <c r="U10" s="26" t="n">
        <f aca="false">T10*'Use Cases'!C10</f>
        <v>0</v>
      </c>
      <c r="V10" s="43" t="n">
        <f aca="false">IF(L10=0,0,U10/L10)</f>
        <v>0</v>
      </c>
      <c r="W10" s="42" t="n">
        <f aca="false">M10+T10</f>
        <v>0</v>
      </c>
      <c r="X10" s="43" t="n">
        <f aca="false">IF(M10=0,0,W10/M10)</f>
        <v>0</v>
      </c>
      <c r="Y10" s="40" t="n">
        <f aca="false">'Use Cases'!E10*(1+'Use Cases'!K10)*('Use Cases'!F10+'Use Cases'!G10+'Use Cases'!H10)/1000</f>
        <v>0</v>
      </c>
      <c r="Z10" s="41" t="n">
        <f aca="false">IF(J10=0,0,I10/J10)</f>
        <v>0</v>
      </c>
      <c r="AA10" s="26" t="n">
        <f aca="false">S10*'Use Cases'!C10</f>
        <v>0</v>
      </c>
    </row>
    <row r="11" customFormat="false" ht="15" hidden="false" customHeight="false" outlineLevel="0" collapsed="false">
      <c r="A11" s="38" t="str">
        <f aca="false">IF('Use Cases'!A11="","",'Use Cases'!A11)</f>
        <v/>
      </c>
      <c r="B11" s="38" t="str">
        <f aca="false">IF('Use Cases'!D11="","",'Use Cases'!D11)</f>
        <v/>
      </c>
      <c r="C11" s="39" t="n">
        <f aca="false">'Use Cases'!C11*'Use Cases'!E11*(1+'Use Cases'!K11)</f>
        <v>0</v>
      </c>
      <c r="D11" s="40" t="n">
        <f aca="false">C11*'Use Cases'!F11/1000000</f>
        <v>0</v>
      </c>
      <c r="E11" s="40" t="n">
        <f aca="false">C11*('Use Cases'!G11+'Use Cases'!H11)/1000000</f>
        <v>0</v>
      </c>
      <c r="F11" s="41" t="n">
        <f aca="false">1-'Use Cases'!J11*'Rate Card'!$B$9</f>
        <v>1</v>
      </c>
      <c r="G11" s="26" t="n">
        <f aca="false">IF(B11="",0,D11*(1-'Use Cases'!I11)*INDEX('Rate Card'!$B$5:$B$7,MATCH('Use Cases'!$D11,'Rate Card'!$A$5:$A$7,0))*F11)</f>
        <v>0</v>
      </c>
      <c r="H11" s="26" t="n">
        <f aca="false">IF(B11="",0,D11*'Use Cases'!I11*INDEX('Rate Card'!$C$5:$C$7,MATCH('Use Cases'!$D11,'Rate Card'!$A$5:$A$7,0))*F11)</f>
        <v>0</v>
      </c>
      <c r="I11" s="26" t="n">
        <f aca="false">IF(B11="",0,E11*INDEX('Rate Card'!$D$5:$D$7,MATCH('Use Cases'!$D11,'Rate Card'!$A$5:$A$7,0))*F11)</f>
        <v>0</v>
      </c>
      <c r="J11" s="26" t="n">
        <f aca="false">G11+H11+I11</f>
        <v>0</v>
      </c>
      <c r="K11" s="26" t="n">
        <f aca="false">IF($J$13=0,0,J11/$J$13*'Platform Costs'!$B$10)</f>
        <v>0</v>
      </c>
      <c r="L11" s="26" t="n">
        <f aca="false">J11+K11</f>
        <v>0</v>
      </c>
      <c r="M11" s="29" t="n">
        <f aca="false">IF('Use Cases'!C11=0,0,J11/'Use Cases'!C11)</f>
        <v>0</v>
      </c>
      <c r="N11" s="29" t="n">
        <f aca="false">IF('Use Cases'!C11=0,0,L11/'Use Cases'!C11)</f>
        <v>0</v>
      </c>
      <c r="O11" s="29" t="n">
        <f aca="false">IF('Use Cases'!L11=0,0,N11/'Use Cases'!L11)</f>
        <v>0</v>
      </c>
      <c r="P11" s="42" t="n">
        <f aca="false">('Use Cases'!M11+(1-'Use Cases'!L11)*'Use Cases'!N11)/60*'Use Cases'!O11</f>
        <v>0</v>
      </c>
      <c r="Q11" s="42" t="n">
        <f aca="false">'Use Cases'!N11/60*'Use Cases'!O11</f>
        <v>0</v>
      </c>
      <c r="R11" s="42" t="n">
        <f aca="false">Q11-P11</f>
        <v>0</v>
      </c>
      <c r="S11" s="42" t="n">
        <f aca="false">R11*'Use Cases'!P11</f>
        <v>0</v>
      </c>
      <c r="T11" s="42" t="n">
        <f aca="false">S11-N11</f>
        <v>0</v>
      </c>
      <c r="U11" s="26" t="n">
        <f aca="false">T11*'Use Cases'!C11</f>
        <v>0</v>
      </c>
      <c r="V11" s="43" t="n">
        <f aca="false">IF(L11=0,0,U11/L11)</f>
        <v>0</v>
      </c>
      <c r="W11" s="42" t="n">
        <f aca="false">M11+T11</f>
        <v>0</v>
      </c>
      <c r="X11" s="43" t="n">
        <f aca="false">IF(M11=0,0,W11/M11)</f>
        <v>0</v>
      </c>
      <c r="Y11" s="40" t="n">
        <f aca="false">'Use Cases'!E11*(1+'Use Cases'!K11)*('Use Cases'!F11+'Use Cases'!G11+'Use Cases'!H11)/1000</f>
        <v>0</v>
      </c>
      <c r="Z11" s="41" t="n">
        <f aca="false">IF(J11=0,0,I11/J11)</f>
        <v>0</v>
      </c>
      <c r="AA11" s="26" t="n">
        <f aca="false">S11*'Use Cases'!C11</f>
        <v>0</v>
      </c>
    </row>
    <row r="12" customFormat="false" ht="15" hidden="false" customHeight="false" outlineLevel="0" collapsed="false">
      <c r="A12" s="38" t="str">
        <f aca="false">IF('Use Cases'!A12="","",'Use Cases'!A12)</f>
        <v/>
      </c>
      <c r="B12" s="38" t="str">
        <f aca="false">IF('Use Cases'!D12="","",'Use Cases'!D12)</f>
        <v/>
      </c>
      <c r="C12" s="39" t="n">
        <f aca="false">'Use Cases'!C12*'Use Cases'!E12*(1+'Use Cases'!K12)</f>
        <v>0</v>
      </c>
      <c r="D12" s="40" t="n">
        <f aca="false">C12*'Use Cases'!F12/1000000</f>
        <v>0</v>
      </c>
      <c r="E12" s="40" t="n">
        <f aca="false">C12*('Use Cases'!G12+'Use Cases'!H12)/1000000</f>
        <v>0</v>
      </c>
      <c r="F12" s="41" t="n">
        <f aca="false">1-'Use Cases'!J12*'Rate Card'!$B$9</f>
        <v>1</v>
      </c>
      <c r="G12" s="26" t="n">
        <f aca="false">IF(B12="",0,D12*(1-'Use Cases'!I12)*INDEX('Rate Card'!$B$5:$B$7,MATCH('Use Cases'!$D12,'Rate Card'!$A$5:$A$7,0))*F12)</f>
        <v>0</v>
      </c>
      <c r="H12" s="26" t="n">
        <f aca="false">IF(B12="",0,D12*'Use Cases'!I12*INDEX('Rate Card'!$C$5:$C$7,MATCH('Use Cases'!$D12,'Rate Card'!$A$5:$A$7,0))*F12)</f>
        <v>0</v>
      </c>
      <c r="I12" s="26" t="n">
        <f aca="false">IF(B12="",0,E12*INDEX('Rate Card'!$D$5:$D$7,MATCH('Use Cases'!$D12,'Rate Card'!$A$5:$A$7,0))*F12)</f>
        <v>0</v>
      </c>
      <c r="J12" s="26" t="n">
        <f aca="false">G12+H12+I12</f>
        <v>0</v>
      </c>
      <c r="K12" s="26" t="n">
        <f aca="false">IF($J$13=0,0,J12/$J$13*'Platform Costs'!$B$10)</f>
        <v>0</v>
      </c>
      <c r="L12" s="26" t="n">
        <f aca="false">J12+K12</f>
        <v>0</v>
      </c>
      <c r="M12" s="29" t="n">
        <f aca="false">IF('Use Cases'!C12=0,0,J12/'Use Cases'!C12)</f>
        <v>0</v>
      </c>
      <c r="N12" s="29" t="n">
        <f aca="false">IF('Use Cases'!C12=0,0,L12/'Use Cases'!C12)</f>
        <v>0</v>
      </c>
      <c r="O12" s="29" t="n">
        <f aca="false">IF('Use Cases'!L12=0,0,N12/'Use Cases'!L12)</f>
        <v>0</v>
      </c>
      <c r="P12" s="42" t="n">
        <f aca="false">('Use Cases'!M12+(1-'Use Cases'!L12)*'Use Cases'!N12)/60*'Use Cases'!O12</f>
        <v>0</v>
      </c>
      <c r="Q12" s="42" t="n">
        <f aca="false">'Use Cases'!N12/60*'Use Cases'!O12</f>
        <v>0</v>
      </c>
      <c r="R12" s="42" t="n">
        <f aca="false">Q12-P12</f>
        <v>0</v>
      </c>
      <c r="S12" s="42" t="n">
        <f aca="false">R12*'Use Cases'!P12</f>
        <v>0</v>
      </c>
      <c r="T12" s="42" t="n">
        <f aca="false">S12-N12</f>
        <v>0</v>
      </c>
      <c r="U12" s="26" t="n">
        <f aca="false">T12*'Use Cases'!C12</f>
        <v>0</v>
      </c>
      <c r="V12" s="43" t="n">
        <f aca="false">IF(L12=0,0,U12/L12)</f>
        <v>0</v>
      </c>
      <c r="W12" s="42" t="n">
        <f aca="false">M12+T12</f>
        <v>0</v>
      </c>
      <c r="X12" s="43" t="n">
        <f aca="false">IF(M12=0,0,W12/M12)</f>
        <v>0</v>
      </c>
      <c r="Y12" s="40" t="n">
        <f aca="false">'Use Cases'!E12*(1+'Use Cases'!K12)*('Use Cases'!F12+'Use Cases'!G12+'Use Cases'!H12)/1000</f>
        <v>0</v>
      </c>
      <c r="Z12" s="41" t="n">
        <f aca="false">IF(J12=0,0,I12/J12)</f>
        <v>0</v>
      </c>
      <c r="AA12" s="26" t="n">
        <f aca="false">S12*'Use Cases'!C12</f>
        <v>0</v>
      </c>
    </row>
    <row r="13" customFormat="false" ht="15" hidden="false" customHeight="false" outlineLevel="0" collapsed="false">
      <c r="A13" s="20" t="s">
        <v>168</v>
      </c>
      <c r="C13" s="44" t="n">
        <f aca="false">SUM(C5:C12)</f>
        <v>697250</v>
      </c>
      <c r="D13" s="45" t="n">
        <f aca="false">SUM(D5:D12)</f>
        <v>6004.7</v>
      </c>
      <c r="E13" s="45" t="n">
        <f aca="false">SUM(E5:E12)</f>
        <v>651.3</v>
      </c>
      <c r="G13" s="36" t="n">
        <f aca="false">SUM(G5:G12)</f>
        <v>6035.535</v>
      </c>
      <c r="H13" s="36" t="n">
        <f aca="false">SUM(H5:H12)</f>
        <v>592.2615</v>
      </c>
      <c r="I13" s="36" t="n">
        <f aca="false">SUM(I5:I12)</f>
        <v>6541.03125</v>
      </c>
      <c r="J13" s="36" t="n">
        <f aca="false">SUM(J5:J12)</f>
        <v>13168.82775</v>
      </c>
      <c r="K13" s="36" t="n">
        <f aca="false">SUM(K5:K12)</f>
        <v>45000</v>
      </c>
      <c r="L13" s="36" t="n">
        <f aca="false">SUM(L5:L12)</f>
        <v>58168.82775</v>
      </c>
      <c r="U13" s="36" t="n">
        <f aca="false">SUM(U5:U12)</f>
        <v>491740.505583333</v>
      </c>
      <c r="V13" s="46" t="n">
        <f aca="false">IF(L13=0,0,U13/L13)</f>
        <v>8.45367741802796</v>
      </c>
      <c r="AA13" s="36" t="n">
        <f aca="false">SUM(AA5:AA12)</f>
        <v>549909.333333333</v>
      </c>
    </row>
  </sheetData>
  <printOptions headings="false" gridLines="false" gridLinesSet="true" horizontalCentered="false" verticalCentered="false"/>
  <pageMargins left="0.75" right="0.75" top="1" bottom="1" header="0.511811023622047" footer="0.5"/>
  <pageSetup paperSize="9" scale="100" fitToWidth="1" fitToHeight="1" pageOrder="downThenOver" orientation="portrait" blackAndWhite="false" draft="false" cellComments="none" horizontalDpi="300" verticalDpi="300" copies="1"/>
  <headerFooter differentFirst="false" differentOddEven="false">
    <oddHeader/>
    <oddFooter>&amp;L&amp;8 AI Daily by Nikhil Nan&amp;C&amp;8 &amp;A&amp;R&amp;8 CC BY 4.0 · Version 1.0</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8"/>
    <col collapsed="false" customWidth="true" hidden="false" outlineLevel="0" max="3" min="3" style="0" width="55"/>
  </cols>
  <sheetData>
    <row r="1" customFormat="false" ht="17.35" hidden="false" customHeight="false" outlineLevel="0" collapsed="false">
      <c r="A1" s="30" t="s">
        <v>169</v>
      </c>
    </row>
    <row r="2" customFormat="false" ht="15" hidden="false" customHeight="false" outlineLevel="0" collapsed="false">
      <c r="A2" s="2" t="s">
        <v>170</v>
      </c>
    </row>
    <row r="4" customFormat="false" ht="48" hidden="false" customHeight="true" outlineLevel="0" collapsed="false">
      <c r="A4" s="5" t="s">
        <v>171</v>
      </c>
      <c r="B4" s="5" t="s">
        <v>172</v>
      </c>
      <c r="C4" s="5" t="s">
        <v>173</v>
      </c>
    </row>
    <row r="5" customFormat="false" ht="15" hidden="false" customHeight="false" outlineLevel="0" collapsed="false">
      <c r="A5" s="16" t="s">
        <v>174</v>
      </c>
      <c r="B5" s="47" t="n">
        <f aca="false">SUM('Use Cases'!C5:C12)</f>
        <v>238000</v>
      </c>
      <c r="C5" s="34" t="s">
        <v>175</v>
      </c>
    </row>
    <row r="6" customFormat="false" ht="15" hidden="false" customHeight="false" outlineLevel="0" collapsed="false">
      <c r="A6" s="16" t="s">
        <v>176</v>
      </c>
      <c r="B6" s="47" t="n">
        <f aca="false">Calculator!C13</f>
        <v>697250</v>
      </c>
      <c r="C6" s="34" t="s">
        <v>177</v>
      </c>
    </row>
    <row r="7" customFormat="false" ht="15" hidden="false" customHeight="false" outlineLevel="0" collapsed="false">
      <c r="A7" s="16" t="s">
        <v>178</v>
      </c>
      <c r="B7" s="48" t="n">
        <f aca="false">Calculator!D13</f>
        <v>6004.7</v>
      </c>
      <c r="C7" s="34"/>
    </row>
    <row r="8" customFormat="false" ht="15" hidden="false" customHeight="false" outlineLevel="0" collapsed="false">
      <c r="A8" s="16" t="s">
        <v>179</v>
      </c>
      <c r="B8" s="48" t="n">
        <f aca="false">Calculator!E13</f>
        <v>651.3</v>
      </c>
      <c r="C8" s="34"/>
    </row>
    <row r="9" customFormat="false" ht="15" hidden="false" customHeight="false" outlineLevel="0" collapsed="false">
      <c r="A9" s="16" t="s">
        <v>180</v>
      </c>
      <c r="B9" s="49" t="n">
        <f aca="false">Calculator!J13</f>
        <v>13168.82775</v>
      </c>
      <c r="C9" s="34" t="s">
        <v>181</v>
      </c>
    </row>
    <row r="10" customFormat="false" ht="15" hidden="false" customHeight="false" outlineLevel="0" collapsed="false">
      <c r="A10" s="16" t="s">
        <v>182</v>
      </c>
      <c r="B10" s="49" t="n">
        <f aca="false">Calculator!K13</f>
        <v>45000</v>
      </c>
      <c r="C10" s="34" t="s">
        <v>183</v>
      </c>
    </row>
    <row r="11" customFormat="false" ht="15" hidden="false" customHeight="false" outlineLevel="0" collapsed="false">
      <c r="A11" s="16" t="s">
        <v>184</v>
      </c>
      <c r="B11" s="49" t="n">
        <f aca="false">Calculator!L13</f>
        <v>58168.82775</v>
      </c>
      <c r="C11" s="34" t="s">
        <v>185</v>
      </c>
    </row>
    <row r="12" customFormat="false" ht="15" hidden="false" customHeight="false" outlineLevel="0" collapsed="false">
      <c r="A12" s="16" t="s">
        <v>186</v>
      </c>
      <c r="B12" s="50" t="n">
        <f aca="false">IF(Calculator!L13=0,0,Calculator!J13/Calculator!L13)</f>
        <v>0.226389773687678</v>
      </c>
      <c r="C12" s="34" t="s">
        <v>187</v>
      </c>
    </row>
    <row r="13" customFormat="false" ht="15" hidden="false" customHeight="false" outlineLevel="0" collapsed="false">
      <c r="A13" s="16" t="s">
        <v>188</v>
      </c>
      <c r="B13" s="51" t="n">
        <f aca="false">IF(B5=0,0,Calculator!L13/B5)</f>
        <v>0.244406839285714</v>
      </c>
      <c r="C13" s="34"/>
    </row>
    <row r="14" customFormat="false" ht="15" hidden="false" customHeight="false" outlineLevel="0" collapsed="false">
      <c r="A14" s="16" t="s">
        <v>189</v>
      </c>
      <c r="B14" s="50" t="n">
        <f aca="false">IF(Calculator!D13=0,0,SUMPRODUCT(Calculator!D5:D12,'Use Cases'!I5:I12)/Calculator!D13)</f>
        <v>0.507955434909321</v>
      </c>
      <c r="C14" s="34" t="s">
        <v>190</v>
      </c>
    </row>
    <row r="15" customFormat="false" ht="15" hidden="false" customHeight="false" outlineLevel="0" collapsed="false">
      <c r="A15" s="16" t="s">
        <v>166</v>
      </c>
      <c r="B15" s="50" t="n">
        <f aca="false">IF(Calculator!J13=0,0,Calculator!I13/Calculator!J13)</f>
        <v>0.496705657798584</v>
      </c>
      <c r="C15" s="34" t="s">
        <v>191</v>
      </c>
    </row>
    <row r="16" customFormat="false" ht="15" hidden="false" customHeight="false" outlineLevel="0" collapsed="false">
      <c r="A16" s="16" t="s">
        <v>192</v>
      </c>
      <c r="B16" s="50" t="n">
        <f aca="false">IF(Calculator!J13=0,0,MAX(Calculator!J5:J12)/Calculator!J13)</f>
        <v>0.539703619405304</v>
      </c>
      <c r="C16" s="34" t="s">
        <v>193</v>
      </c>
    </row>
    <row r="17" customFormat="false" ht="15" hidden="false" customHeight="false" outlineLevel="0" collapsed="false">
      <c r="A17" s="16" t="s">
        <v>194</v>
      </c>
      <c r="B17" s="49" t="n">
        <f aca="false">Calculator!U13</f>
        <v>491740.505583333</v>
      </c>
      <c r="C17" s="34" t="s">
        <v>195</v>
      </c>
    </row>
    <row r="18" customFormat="false" ht="15" hidden="false" customHeight="false" outlineLevel="0" collapsed="false">
      <c r="A18" s="16" t="s">
        <v>196</v>
      </c>
      <c r="B18" s="49" t="n">
        <f aca="false">B17*12</f>
        <v>5900886.067</v>
      </c>
      <c r="C18" s="34"/>
    </row>
    <row r="19" customFormat="false" ht="15" hidden="false" customHeight="false" outlineLevel="0" collapsed="false">
      <c r="A19" s="16" t="s">
        <v>162</v>
      </c>
      <c r="B19" s="52" t="n">
        <f aca="false">Calculator!V13</f>
        <v>8.45367741802796</v>
      </c>
      <c r="C19" s="34" t="s">
        <v>197</v>
      </c>
    </row>
    <row r="21" customFormat="false" ht="15" hidden="false" customHeight="false" outlineLevel="0" collapsed="false">
      <c r="A21" s="20" t="s">
        <v>198</v>
      </c>
    </row>
    <row r="22" customFormat="false" ht="30" hidden="false" customHeight="true" outlineLevel="0" collapsed="false">
      <c r="A22" s="5" t="s">
        <v>199</v>
      </c>
      <c r="B22" s="5" t="s">
        <v>150</v>
      </c>
      <c r="C22" s="5" t="s">
        <v>200</v>
      </c>
    </row>
    <row r="23" customFormat="false" ht="15" hidden="false" customHeight="false" outlineLevel="0" collapsed="false">
      <c r="A23" s="38" t="str">
        <f aca="false">'Rate Card'!A5</f>
        <v>Frontier</v>
      </c>
      <c r="B23" s="26" t="n">
        <f aca="false">SUMIF(Calculator!B5:B12,A23,Calculator!J5:J12)</f>
        <v>1930.1625</v>
      </c>
      <c r="C23" s="41" t="n">
        <f aca="false">IF(Calculator!J13=0,0,B23/Calculator!J13)</f>
        <v>0.146570563199902</v>
      </c>
    </row>
    <row r="24" customFormat="false" ht="15" hidden="false" customHeight="false" outlineLevel="0" collapsed="false">
      <c r="A24" s="38" t="str">
        <f aca="false">'Rate Card'!A6</f>
        <v>Mid</v>
      </c>
      <c r="B24" s="26" t="n">
        <f aca="false">SUMIF(Calculator!B5:B12,A24,Calculator!J5:J12)</f>
        <v>11181.114</v>
      </c>
      <c r="C24" s="41" t="n">
        <f aca="false">IF(Calculator!J13=0,0,B24/Calculator!J13)</f>
        <v>0.849059173091546</v>
      </c>
    </row>
    <row r="25" customFormat="false" ht="15" hidden="false" customHeight="false" outlineLevel="0" collapsed="false">
      <c r="A25" s="38" t="str">
        <f aca="false">'Rate Card'!A7</f>
        <v>Small</v>
      </c>
      <c r="B25" s="26" t="n">
        <f aca="false">SUMIF(Calculator!B5:B12,A25,Calculator!J5:J12)</f>
        <v>57.55125</v>
      </c>
      <c r="C25" s="41" t="n">
        <f aca="false">IF(Calculator!J13=0,0,B25/Calculator!J13)</f>
        <v>0.00437026370855219</v>
      </c>
    </row>
  </sheetData>
  <printOptions headings="false" gridLines="false" gridLinesSet="true" horizontalCentered="false" verticalCentered="false"/>
  <pageMargins left="0.75" right="0.75" top="1" bottom="1" header="0.511811023622047" footer="0.5"/>
  <pageSetup paperSize="9" scale="100" fitToWidth="1" fitToHeight="1" pageOrder="downThenOver" orientation="portrait" blackAndWhite="false" draft="false" cellComments="none" horizontalDpi="300" verticalDpi="300" copies="1"/>
  <headerFooter differentFirst="false" differentOddEven="false">
    <oddHeader/>
    <oddFooter>&amp;L&amp;8 AI Daily by Nikhil Nan&amp;C&amp;8 &amp;A&amp;R&amp;8 CC BY 4.0 · Version 1.0</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8"/>
    <col collapsed="false" customWidth="true" hidden="false" outlineLevel="0" max="3" min="3" style="0" width="20"/>
    <col collapsed="false" customWidth="true" hidden="false" outlineLevel="0" max="4" min="4" style="0" width="16"/>
    <col collapsed="false" customWidth="true" hidden="false" outlineLevel="0" max="5" min="5" style="0" width="18"/>
    <col collapsed="false" customWidth="true" hidden="false" outlineLevel="0" max="6" min="6" style="0" width="20"/>
  </cols>
  <sheetData>
    <row r="1" customFormat="false" ht="17.35" hidden="false" customHeight="false" outlineLevel="0" collapsed="false">
      <c r="A1" s="30" t="s">
        <v>201</v>
      </c>
    </row>
    <row r="2" customFormat="false" ht="15" hidden="false" customHeight="false" outlineLevel="0" collapsed="false">
      <c r="A2" s="2" t="s">
        <v>202</v>
      </c>
    </row>
    <row r="4" customFormat="false" ht="15" hidden="false" customHeight="false" outlineLevel="0" collapsed="false">
      <c r="A4" s="20" t="s">
        <v>203</v>
      </c>
    </row>
    <row r="5" customFormat="false" ht="15" hidden="false" customHeight="false" outlineLevel="0" collapsed="false">
      <c r="A5" s="16" t="s">
        <v>204</v>
      </c>
      <c r="B5" s="12" t="n">
        <v>0.3</v>
      </c>
    </row>
    <row r="6" customFormat="false" ht="15" hidden="false" customHeight="false" outlineLevel="0" collapsed="false">
      <c r="A6" s="16" t="s">
        <v>205</v>
      </c>
      <c r="B6" s="12" t="n">
        <v>0.4</v>
      </c>
    </row>
    <row r="7" customFormat="false" ht="15" hidden="false" customHeight="false" outlineLevel="0" collapsed="false">
      <c r="A7" s="16" t="s">
        <v>206</v>
      </c>
      <c r="B7" s="53" t="n">
        <v>3</v>
      </c>
    </row>
    <row r="8" customFormat="false" ht="15" hidden="false" customHeight="false" outlineLevel="0" collapsed="false">
      <c r="A8" s="16" t="s">
        <v>207</v>
      </c>
      <c r="B8" s="12" t="n">
        <v>0.25</v>
      </c>
    </row>
    <row r="9" customFormat="false" ht="15" hidden="false" customHeight="false" outlineLevel="0" collapsed="false">
      <c r="A9" s="16" t="s">
        <v>208</v>
      </c>
      <c r="B9" s="12" t="n">
        <v>0.2</v>
      </c>
    </row>
    <row r="10" customFormat="false" ht="15" hidden="false" customHeight="false" outlineLevel="0" collapsed="false">
      <c r="A10" s="16" t="s">
        <v>209</v>
      </c>
      <c r="B10" s="12" t="n">
        <v>0.3</v>
      </c>
    </row>
    <row r="11" customFormat="false" ht="15" hidden="false" customHeight="false" outlineLevel="0" collapsed="false">
      <c r="A11" s="16" t="s">
        <v>210</v>
      </c>
      <c r="B11" s="12" t="n">
        <v>0.95</v>
      </c>
    </row>
    <row r="12" customFormat="false" ht="15" hidden="false" customHeight="false" outlineLevel="0" collapsed="false">
      <c r="A12" s="16" t="s">
        <v>211</v>
      </c>
      <c r="B12" s="12" t="n">
        <v>0.1</v>
      </c>
    </row>
    <row r="14" customFormat="false" ht="15" hidden="false" customHeight="false" outlineLevel="0" collapsed="false">
      <c r="A14" s="20" t="s">
        <v>212</v>
      </c>
    </row>
    <row r="15" customFormat="false" ht="48" hidden="false" customHeight="true" outlineLevel="0" collapsed="false">
      <c r="A15" s="5" t="s">
        <v>116</v>
      </c>
      <c r="B15" s="5" t="s">
        <v>213</v>
      </c>
      <c r="C15" s="5" t="s">
        <v>214</v>
      </c>
      <c r="D15" s="5" t="s">
        <v>215</v>
      </c>
      <c r="E15" s="5" t="s">
        <v>216</v>
      </c>
      <c r="F15" s="5" t="s">
        <v>217</v>
      </c>
    </row>
    <row r="16" customFormat="false" ht="15" hidden="false" customHeight="false" outlineLevel="0" collapsed="false">
      <c r="A16" s="38" t="str">
        <f aca="false">Calculator!A5</f>
        <v>Customer service agent</v>
      </c>
      <c r="B16" s="14" t="s">
        <v>218</v>
      </c>
      <c r="C16" s="49" t="n">
        <f aca="false">Calculator!J5</f>
        <v>7107.264</v>
      </c>
      <c r="D16" s="26" t="n">
        <f aca="false">(Calculator!D5*(1-'Use Cases'!I5)*'Rate Card'!$B$7+Calculator!D5*'Use Cases'!I5*'Rate Card'!$C$7+Calculator!E5*'Rate Card'!$D$7)*Calculator!F5</f>
        <v>1776.816</v>
      </c>
      <c r="E16" s="26" t="n">
        <f aca="false">IF(B16="Y",C16-D16,0)</f>
        <v>0</v>
      </c>
      <c r="F16" s="26" t="n">
        <f aca="false">IF(Calculator!B5="",0,MAX(0,MIN($B$9,$B$11-'Use Cases'!I5))*Calculator!D5*(INDEX('Rate Card'!$B$5:$B$7,MATCH(Calculator!B5,'Rate Card'!$A$5:$A$7,0))-INDEX('Rate Card'!$C$5:$C$7,MATCH(Calculator!B5,'Rate Card'!$A$5:$A$7,0)))*Calculator!F5)</f>
        <v>1259.712</v>
      </c>
    </row>
    <row r="17" customFormat="false" ht="15" hidden="false" customHeight="false" outlineLevel="0" collapsed="false">
      <c r="A17" s="38" t="str">
        <f aca="false">Calculator!A6</f>
        <v>Contract clause extraction</v>
      </c>
      <c r="B17" s="14" t="s">
        <v>218</v>
      </c>
      <c r="C17" s="49" t="n">
        <f aca="false">Calculator!J6</f>
        <v>1930.1625</v>
      </c>
      <c r="D17" s="26" t="n">
        <f aca="false">(Calculator!D6*(1-'Use Cases'!I6)*'Rate Card'!$B$7+Calculator!D6*'Use Cases'!I6*'Rate Card'!$C$7+Calculator!E6*'Rate Card'!$D$7)*Calculator!F6</f>
        <v>193.01625</v>
      </c>
      <c r="E17" s="26" t="n">
        <f aca="false">IF(B17="Y",C17-D17,0)</f>
        <v>0</v>
      </c>
      <c r="F17" s="26" t="n">
        <f aca="false">IF(Calculator!B6="",0,MAX(0,MIN($B$9,$B$11-'Use Cases'!I6))*Calculator!D6*(INDEX('Rate Card'!$B$5:$B$7,MATCH(Calculator!B6,'Rate Card'!$A$5:$A$7,0))-INDEX('Rate Card'!$C$5:$C$7,MATCH(Calculator!B6,'Rate Card'!$A$5:$A$7,0)))*Calculator!F6)</f>
        <v>255.15</v>
      </c>
    </row>
    <row r="18" customFormat="false" ht="15" hidden="false" customHeight="false" outlineLevel="0" collapsed="false">
      <c r="A18" s="38" t="str">
        <f aca="false">Calculator!A7</f>
        <v>Invoice exception triage</v>
      </c>
      <c r="B18" s="14" t="s">
        <v>218</v>
      </c>
      <c r="C18" s="49" t="n">
        <f aca="false">Calculator!J7</f>
        <v>57.55125</v>
      </c>
      <c r="D18" s="26" t="n">
        <f aca="false">(Calculator!D7*(1-'Use Cases'!I7)*'Rate Card'!$B$7+Calculator!D7*'Use Cases'!I7*'Rate Card'!$C$7+Calculator!E7*'Rate Card'!$D$7)*Calculator!F7</f>
        <v>57.55125</v>
      </c>
      <c r="E18" s="26" t="n">
        <f aca="false">IF(B18="Y",C18-D18,0)</f>
        <v>0</v>
      </c>
      <c r="F18" s="26" t="n">
        <f aca="false">IF(Calculator!B7="",0,MAX(0,MIN($B$9,$B$11-'Use Cases'!I7))*Calculator!D7*(INDEX('Rate Card'!$B$5:$B$7,MATCH(Calculator!B7,'Rate Card'!$A$5:$A$7,0))-INDEX('Rate Card'!$C$5:$C$7,MATCH(Calculator!B7,'Rate Card'!$A$5:$A$7,0)))*Calculator!F7)</f>
        <v>13.905</v>
      </c>
    </row>
    <row r="19" customFormat="false" ht="15" hidden="false" customHeight="false" outlineLevel="0" collapsed="false">
      <c r="A19" s="38" t="str">
        <f aca="false">Calculator!A8</f>
        <v>Internal knowledge assistant</v>
      </c>
      <c r="B19" s="14" t="s">
        <v>219</v>
      </c>
      <c r="C19" s="49" t="n">
        <f aca="false">Calculator!J8</f>
        <v>4073.85</v>
      </c>
      <c r="D19" s="26" t="n">
        <f aca="false">(Calculator!D8*(1-'Use Cases'!I8)*'Rate Card'!$B$7+Calculator!D8*'Use Cases'!I8*'Rate Card'!$C$7+Calculator!E8*'Rate Card'!$D$7)*Calculator!F8</f>
        <v>1018.4625</v>
      </c>
      <c r="E19" s="26" t="n">
        <f aca="false">IF(B19="Y",C19-D19,0)</f>
        <v>3055.3875</v>
      </c>
      <c r="F19" s="26" t="n">
        <f aca="false">IF(Calculator!B8="",0,MAX(0,MIN($B$9,$B$11-'Use Cases'!I8))*Calculator!D8*(INDEX('Rate Card'!$B$5:$B$7,MATCH(Calculator!B8,'Rate Card'!$A$5:$A$7,0))-INDEX('Rate Card'!$C$5:$C$7,MATCH(Calculator!B8,'Rate Card'!$A$5:$A$7,0)))*Calculator!F8)</f>
        <v>623.7</v>
      </c>
    </row>
    <row r="20" customFormat="false" ht="15" hidden="false" customHeight="false" outlineLevel="0" collapsed="false">
      <c r="A20" s="38" t="str">
        <f aca="false">Calculator!A9</f>
        <v/>
      </c>
      <c r="B20" s="14" t="s">
        <v>218</v>
      </c>
      <c r="C20" s="49" t="n">
        <f aca="false">Calculator!J9</f>
        <v>0</v>
      </c>
      <c r="D20" s="26" t="n">
        <f aca="false">(Calculator!D9*(1-'Use Cases'!I9)*'Rate Card'!$B$7+Calculator!D9*'Use Cases'!I9*'Rate Card'!$C$7+Calculator!E9*'Rate Card'!$D$7)*Calculator!F9</f>
        <v>0</v>
      </c>
      <c r="E20" s="26" t="n">
        <f aca="false">IF(B20="Y",C20-D20,0)</f>
        <v>0</v>
      </c>
      <c r="F20" s="26" t="n">
        <f aca="false">IF(Calculator!B9="",0,MAX(0,MIN($B$9,$B$11-'Use Cases'!I9))*Calculator!D9*(INDEX('Rate Card'!$B$5:$B$7,MATCH(Calculator!B9,'Rate Card'!$A$5:$A$7,0))-INDEX('Rate Card'!$C$5:$C$7,MATCH(Calculator!B9,'Rate Card'!$A$5:$A$7,0)))*Calculator!F9)</f>
        <v>0</v>
      </c>
    </row>
    <row r="21" customFormat="false" ht="15" hidden="false" customHeight="false" outlineLevel="0" collapsed="false">
      <c r="A21" s="38" t="str">
        <f aca="false">Calculator!A10</f>
        <v/>
      </c>
      <c r="B21" s="14" t="s">
        <v>218</v>
      </c>
      <c r="C21" s="49" t="n">
        <f aca="false">Calculator!J10</f>
        <v>0</v>
      </c>
      <c r="D21" s="26" t="n">
        <f aca="false">(Calculator!D10*(1-'Use Cases'!I10)*'Rate Card'!$B$7+Calculator!D10*'Use Cases'!I10*'Rate Card'!$C$7+Calculator!E10*'Rate Card'!$D$7)*Calculator!F10</f>
        <v>0</v>
      </c>
      <c r="E21" s="26" t="n">
        <f aca="false">IF(B21="Y",C21-D21,0)</f>
        <v>0</v>
      </c>
      <c r="F21" s="26" t="n">
        <f aca="false">IF(Calculator!B10="",0,MAX(0,MIN($B$9,$B$11-'Use Cases'!I10))*Calculator!D10*(INDEX('Rate Card'!$B$5:$B$7,MATCH(Calculator!B10,'Rate Card'!$A$5:$A$7,0))-INDEX('Rate Card'!$C$5:$C$7,MATCH(Calculator!B10,'Rate Card'!$A$5:$A$7,0)))*Calculator!F10)</f>
        <v>0</v>
      </c>
    </row>
    <row r="22" customFormat="false" ht="15" hidden="false" customHeight="false" outlineLevel="0" collapsed="false">
      <c r="A22" s="38" t="str">
        <f aca="false">Calculator!A11</f>
        <v/>
      </c>
      <c r="B22" s="14" t="s">
        <v>218</v>
      </c>
      <c r="C22" s="49" t="n">
        <f aca="false">Calculator!J11</f>
        <v>0</v>
      </c>
      <c r="D22" s="26" t="n">
        <f aca="false">(Calculator!D11*(1-'Use Cases'!I11)*'Rate Card'!$B$7+Calculator!D11*'Use Cases'!I11*'Rate Card'!$C$7+Calculator!E11*'Rate Card'!$D$7)*Calculator!F11</f>
        <v>0</v>
      </c>
      <c r="E22" s="26" t="n">
        <f aca="false">IF(B22="Y",C22-D22,0)</f>
        <v>0</v>
      </c>
      <c r="F22" s="26" t="n">
        <f aca="false">IF(Calculator!B11="",0,MAX(0,MIN($B$9,$B$11-'Use Cases'!I11))*Calculator!D11*(INDEX('Rate Card'!$B$5:$B$7,MATCH(Calculator!B11,'Rate Card'!$A$5:$A$7,0))-INDEX('Rate Card'!$C$5:$C$7,MATCH(Calculator!B11,'Rate Card'!$A$5:$A$7,0)))*Calculator!F11)</f>
        <v>0</v>
      </c>
    </row>
    <row r="23" customFormat="false" ht="15" hidden="false" customHeight="false" outlineLevel="0" collapsed="false">
      <c r="A23" s="38" t="str">
        <f aca="false">Calculator!A12</f>
        <v/>
      </c>
      <c r="B23" s="14" t="s">
        <v>218</v>
      </c>
      <c r="C23" s="49" t="n">
        <f aca="false">Calculator!J12</f>
        <v>0</v>
      </c>
      <c r="D23" s="26" t="n">
        <f aca="false">(Calculator!D12*(1-'Use Cases'!I12)*'Rate Card'!$B$7+Calculator!D12*'Use Cases'!I12*'Rate Card'!$C$7+Calculator!E12*'Rate Card'!$D$7)*Calculator!F12</f>
        <v>0</v>
      </c>
      <c r="E23" s="26" t="n">
        <f aca="false">IF(B23="Y",C23-D23,0)</f>
        <v>0</v>
      </c>
      <c r="F23" s="26" t="n">
        <f aca="false">IF(Calculator!B12="",0,MAX(0,MIN($B$9,$B$11-'Use Cases'!I12))*Calculator!D12*(INDEX('Rate Card'!$B$5:$B$7,MATCH(Calculator!B12,'Rate Card'!$A$5:$A$7,0))-INDEX('Rate Card'!$C$5:$C$7,MATCH(Calculator!B12,'Rate Card'!$A$5:$A$7,0)))*Calculator!F12)</f>
        <v>0</v>
      </c>
    </row>
    <row r="24" customFormat="false" ht="15" hidden="false" customHeight="false" outlineLevel="0" collapsed="false">
      <c r="A24" s="20" t="s">
        <v>220</v>
      </c>
      <c r="C24" s="36" t="n">
        <f aca="false">SUM(C16:C23)</f>
        <v>13168.82775</v>
      </c>
      <c r="D24" s="36" t="n">
        <f aca="false">SUM(D16:D23)</f>
        <v>3045.846</v>
      </c>
      <c r="E24" s="36" t="n">
        <f aca="false">SUM(E16:E23)</f>
        <v>3055.3875</v>
      </c>
      <c r="F24" s="36" t="n">
        <f aca="false">SUM(F16:F23)</f>
        <v>2152.467</v>
      </c>
    </row>
    <row r="27" customFormat="false" ht="15" hidden="false" customHeight="false" outlineLevel="0" collapsed="false">
      <c r="A27" s="20" t="s">
        <v>221</v>
      </c>
    </row>
    <row r="28" customFormat="false" ht="48" hidden="false" customHeight="true" outlineLevel="0" collapsed="false">
      <c r="A28" s="5" t="s">
        <v>222</v>
      </c>
      <c r="B28" s="5" t="s">
        <v>150</v>
      </c>
      <c r="C28" s="5" t="s">
        <v>223</v>
      </c>
      <c r="D28" s="5" t="s">
        <v>224</v>
      </c>
      <c r="E28" s="5" t="s">
        <v>161</v>
      </c>
      <c r="F28" s="5" t="s">
        <v>225</v>
      </c>
    </row>
    <row r="29" customFormat="false" ht="15" hidden="false" customHeight="false" outlineLevel="0" collapsed="false">
      <c r="A29" s="16" t="s">
        <v>226</v>
      </c>
      <c r="B29" s="26" t="n">
        <f aca="false">Calculator!$J$13</f>
        <v>13168.82775</v>
      </c>
      <c r="C29" s="26" t="n">
        <f aca="false">B29+'Platform Costs'!$B$10</f>
        <v>58168.82775</v>
      </c>
      <c r="D29" s="29" t="n">
        <f aca="false">IF(SUM('Use Cases'!$C$5:$C$12)=0,0,C29/SUM('Use Cases'!$C$5:$C$12))</f>
        <v>0.244406839285714</v>
      </c>
      <c r="E29" s="26" t="n">
        <f aca="false">Calculator!$AA$13-C29</f>
        <v>491740.505583333</v>
      </c>
      <c r="F29" s="26" t="n">
        <f aca="false">E29-$E$29</f>
        <v>0</v>
      </c>
    </row>
    <row r="30" customFormat="false" ht="15" hidden="false" customHeight="false" outlineLevel="0" collapsed="false">
      <c r="A30" s="16" t="s">
        <v>204</v>
      </c>
      <c r="B30" s="26" t="n">
        <f aca="false">Calculator!$J$13*(1+$B$5)</f>
        <v>17119.476075</v>
      </c>
      <c r="C30" s="26" t="n">
        <f aca="false">B30+'Platform Costs'!$B$10</f>
        <v>62119.476075</v>
      </c>
      <c r="D30" s="29" t="n">
        <f aca="false">IF(SUM('Use Cases'!$C$5:$C$12)=0,0,C30/SUM('Use Cases'!$C$5:$C$12))</f>
        <v>0.261006201995798</v>
      </c>
      <c r="E30" s="26" t="n">
        <f aca="false">Calculator!$AA$13-C30</f>
        <v>487789.857258333</v>
      </c>
      <c r="F30" s="26" t="n">
        <f aca="false">E30-$E$29</f>
        <v>-3950.64832500002</v>
      </c>
    </row>
    <row r="31" customFormat="false" ht="15" hidden="false" customHeight="false" outlineLevel="0" collapsed="false">
      <c r="A31" s="16" t="s">
        <v>205</v>
      </c>
      <c r="B31" s="26" t="n">
        <f aca="false">Calculator!$J$13*(1-$B$6)</f>
        <v>7901.29665</v>
      </c>
      <c r="C31" s="26" t="n">
        <f aca="false">B31+'Platform Costs'!$B$10</f>
        <v>52901.29665</v>
      </c>
      <c r="D31" s="29" t="n">
        <f aca="false">IF(SUM('Use Cases'!$C$5:$C$12)=0,0,C31/SUM('Use Cases'!$C$5:$C$12))</f>
        <v>0.222274355672269</v>
      </c>
      <c r="E31" s="26" t="n">
        <f aca="false">Calculator!$AA$13-C31</f>
        <v>497008.036683333</v>
      </c>
      <c r="F31" s="26" t="n">
        <f aca="false">E31-$E$29</f>
        <v>5267.53109999996</v>
      </c>
    </row>
    <row r="32" customFormat="false" ht="15" hidden="false" customHeight="false" outlineLevel="0" collapsed="false">
      <c r="A32" s="16" t="s">
        <v>227</v>
      </c>
      <c r="B32" s="26" t="n">
        <f aca="false">Calculator!$J$13*$B$7</f>
        <v>39506.48325</v>
      </c>
      <c r="C32" s="26" t="n">
        <f aca="false">B32+'Platform Costs'!$B$10</f>
        <v>84506.48325</v>
      </c>
      <c r="D32" s="29" t="n">
        <f aca="false">IF(SUM('Use Cases'!$C$5:$C$12)=0,0,C32/(SUM('Use Cases'!$C$5:$C$12)*$B$7))</f>
        <v>0.118356419117647</v>
      </c>
      <c r="E32" s="26" t="n">
        <f aca="false">Calculator!$AA$13*$B$7-C32</f>
        <v>1565221.51675</v>
      </c>
      <c r="F32" s="26" t="n">
        <f aca="false">E32-$E$29</f>
        <v>1073481.01116667</v>
      </c>
    </row>
    <row r="33" customFormat="false" ht="15" hidden="false" customHeight="false" outlineLevel="0" collapsed="false">
      <c r="A33" s="16" t="s">
        <v>228</v>
      </c>
      <c r="B33" s="26" t="n">
        <f aca="false">Calculator!$J$13-$B$8*(Calculator!$G$13+Calculator!$H$13)</f>
        <v>11511.878625</v>
      </c>
      <c r="C33" s="26" t="n">
        <f aca="false">B33+'Platform Costs'!$B$10</f>
        <v>56511.878625</v>
      </c>
      <c r="D33" s="29" t="n">
        <f aca="false">IF(SUM('Use Cases'!$C$5:$C$12)=0,0,C33/SUM('Use Cases'!$C$5:$C$12))</f>
        <v>0.237444868172269</v>
      </c>
      <c r="E33" s="26" t="n">
        <f aca="false">Calculator!$AA$13-C33</f>
        <v>493397.454708333</v>
      </c>
      <c r="F33" s="26" t="n">
        <f aca="false">E33-$E$29</f>
        <v>1656.94912499998</v>
      </c>
    </row>
    <row r="34" customFormat="false" ht="15" hidden="false" customHeight="false" outlineLevel="0" collapsed="false">
      <c r="A34" s="16" t="s">
        <v>229</v>
      </c>
      <c r="B34" s="26" t="n">
        <f aca="false">Calculator!$J$13-$F$24</f>
        <v>11016.36075</v>
      </c>
      <c r="C34" s="26" t="n">
        <f aca="false">B34+'Platform Costs'!$B$10</f>
        <v>56016.36075</v>
      </c>
      <c r="D34" s="29" t="n">
        <f aca="false">IF(SUM('Use Cases'!$C$5:$C$12)=0,0,C34/SUM('Use Cases'!$C$5:$C$12))</f>
        <v>0.235362860294118</v>
      </c>
      <c r="E34" s="26" t="n">
        <f aca="false">Calculator!$AA$13-C34</f>
        <v>493892.972583333</v>
      </c>
      <c r="F34" s="26" t="n">
        <f aca="false">E34-$E$29</f>
        <v>2152.467</v>
      </c>
    </row>
    <row r="35" customFormat="false" ht="15" hidden="false" customHeight="false" outlineLevel="0" collapsed="false">
      <c r="A35" s="16" t="s">
        <v>230</v>
      </c>
      <c r="B35" s="26" t="n">
        <f aca="false">Calculator!$J$13-$B$10*Calculator!$I$13</f>
        <v>11206.518375</v>
      </c>
      <c r="C35" s="26" t="n">
        <f aca="false">B35+'Platform Costs'!$B$10</f>
        <v>56206.518375</v>
      </c>
      <c r="D35" s="29" t="n">
        <f aca="false">IF(SUM('Use Cases'!$C$5:$C$12)=0,0,C35/SUM('Use Cases'!$C$5:$C$12))</f>
        <v>0.236161841911765</v>
      </c>
      <c r="E35" s="26" t="n">
        <f aca="false">Calculator!$AA$13-C35</f>
        <v>493702.814958333</v>
      </c>
      <c r="F35" s="26" t="n">
        <f aca="false">E35-$E$29</f>
        <v>1962.30937500001</v>
      </c>
    </row>
    <row r="36" customFormat="false" ht="15" hidden="false" customHeight="false" outlineLevel="0" collapsed="false">
      <c r="A36" s="16" t="s">
        <v>231</v>
      </c>
      <c r="B36" s="26" t="n">
        <f aca="false">Calculator!$J$13-$E$24</f>
        <v>10113.44025</v>
      </c>
      <c r="C36" s="26" t="n">
        <f aca="false">B36+'Platform Costs'!$B$10</f>
        <v>55113.44025</v>
      </c>
      <c r="D36" s="29" t="n">
        <f aca="false">IF(SUM('Use Cases'!$C$5:$C$12)=0,0,C36/SUM('Use Cases'!$C$5:$C$12))</f>
        <v>0.231569076680672</v>
      </c>
      <c r="E36" s="26" t="n">
        <f aca="false">Calculator!$AA$13-C36</f>
        <v>494795.893083333</v>
      </c>
      <c r="F36" s="26" t="n">
        <f aca="false">E36-$E$29</f>
        <v>3055.38750000001</v>
      </c>
    </row>
    <row r="37" customFormat="false" ht="15" hidden="false" customHeight="false" outlineLevel="0" collapsed="false">
      <c r="A37" s="16" t="s">
        <v>232</v>
      </c>
      <c r="B37" s="26" t="n">
        <f aca="false">Calculator!$J$13</f>
        <v>13168.82775</v>
      </c>
      <c r="C37" s="26" t="n">
        <f aca="false">B37+'Platform Costs'!$B$10</f>
        <v>58168.82775</v>
      </c>
      <c r="D37" s="29" t="n">
        <f aca="false">IF(SUM('Use Cases'!$C$5:$C$12)=0,0,C37/SUM('Use Cases'!$C$5:$C$12))</f>
        <v>0.244406839285714</v>
      </c>
      <c r="E37" s="26" t="n">
        <f aca="false">Calculator!$AA$13-C37-$B$12*SUMPRODUCT('Use Cases'!$C$5:$C$12,Calculator!$Q$5:$Q$12,'Use Cases'!$P$5:$P$12)</f>
        <v>412987.17225</v>
      </c>
      <c r="F37" s="26" t="n">
        <f aca="false">E37-$E$29</f>
        <v>-78753.3333333333</v>
      </c>
    </row>
    <row r="39" customFormat="false" ht="15" hidden="false" customHeight="false" outlineLevel="0" collapsed="false">
      <c r="A39" s="2" t="s">
        <v>233</v>
      </c>
    </row>
    <row r="40" customFormat="false" ht="15" hidden="false" customHeight="false" outlineLevel="0" collapsed="false">
      <c r="A40" s="2" t="s">
        <v>234</v>
      </c>
    </row>
    <row r="41" customFormat="false" ht="15" hidden="false" customHeight="false" outlineLevel="0" collapsed="false">
      <c r="A41" s="2" t="s">
        <v>235</v>
      </c>
    </row>
  </sheetData>
  <dataValidations count="1">
    <dataValidation allowBlank="true" errorStyle="stop" operator="between" showDropDown="false" showErrorMessage="false" showInputMessage="false" sqref="B16:B23" type="list">
      <formula1>"Y,N"</formula1>
      <formula2>0</formula2>
    </dataValidation>
  </dataValidations>
  <printOptions headings="false" gridLines="false" gridLinesSet="true" horizontalCentered="false" verticalCentered="false"/>
  <pageMargins left="0.75" right="0.75" top="1" bottom="1" header="0.511811023622047" footer="0.5"/>
  <pageSetup paperSize="9" scale="100" fitToWidth="1" fitToHeight="1" pageOrder="downThenOver" orientation="portrait" blackAndWhite="false" draft="false" cellComments="none" horizontalDpi="300" verticalDpi="300" copies="1"/>
  <headerFooter differentFirst="false" differentOddEven="false">
    <oddHeader/>
    <oddFooter>&amp;L&amp;8 AI Daily by Nikhil Nan&amp;C&amp;8 &amp;A&amp;R&amp;8 CC BY 4.0 · Version 1.0</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6" min="1" style="0" width="13"/>
  </cols>
  <sheetData>
    <row r="1" customFormat="false" ht="17.35" hidden="false" customHeight="false" outlineLevel="0" collapsed="false">
      <c r="A1" s="30" t="s">
        <v>236</v>
      </c>
    </row>
    <row r="2" customFormat="false" ht="15" hidden="false" customHeight="false" outlineLevel="0" collapsed="false">
      <c r="A2" s="2" t="s">
        <v>237</v>
      </c>
    </row>
    <row r="4" customFormat="false" ht="48" hidden="false" customHeight="true" outlineLevel="0" collapsed="false">
      <c r="A4" s="5" t="s">
        <v>238</v>
      </c>
      <c r="B4" s="5" t="s">
        <v>239</v>
      </c>
      <c r="C4" s="5" t="s">
        <v>240</v>
      </c>
      <c r="D4" s="5" t="s">
        <v>241</v>
      </c>
      <c r="E4" s="5" t="s">
        <v>242</v>
      </c>
      <c r="F4" s="5" t="s">
        <v>243</v>
      </c>
      <c r="G4" s="5" t="s">
        <v>244</v>
      </c>
      <c r="H4" s="5" t="s">
        <v>245</v>
      </c>
      <c r="I4" s="5" t="s">
        <v>246</v>
      </c>
      <c r="J4" s="5" t="s">
        <v>247</v>
      </c>
      <c r="K4" s="5" t="s">
        <v>165</v>
      </c>
      <c r="L4" s="5" t="s">
        <v>248</v>
      </c>
      <c r="M4" s="5" t="s">
        <v>249</v>
      </c>
      <c r="N4" s="5" t="s">
        <v>250</v>
      </c>
      <c r="O4" s="5" t="s">
        <v>251</v>
      </c>
      <c r="P4" s="5" t="s">
        <v>252</v>
      </c>
    </row>
    <row r="5" customFormat="false" ht="15" hidden="false" customHeight="false" outlineLevel="0" collapsed="false">
      <c r="A5" s="14" t="s">
        <v>253</v>
      </c>
      <c r="B5" s="9" t="n">
        <v>238000</v>
      </c>
      <c r="C5" s="9" t="n">
        <v>182000</v>
      </c>
      <c r="D5" s="9" t="n">
        <v>735000</v>
      </c>
      <c r="E5" s="9" t="n">
        <v>52000</v>
      </c>
      <c r="F5" s="10" t="n">
        <v>6650</v>
      </c>
      <c r="G5" s="10" t="n">
        <v>2900</v>
      </c>
      <c r="H5" s="10" t="n">
        <v>640</v>
      </c>
      <c r="I5" s="11" t="n">
        <v>13400</v>
      </c>
      <c r="J5" s="11" t="n">
        <v>45000</v>
      </c>
      <c r="K5" s="40" t="n">
        <f aca="false">IF(B5=0,0,(F5+H5)*1000/B5)</f>
        <v>30.6302521008403</v>
      </c>
      <c r="L5" s="29" t="n">
        <f aca="false">IF(C5=0,0,(I5+J5)/C5)</f>
        <v>0.320879120879121</v>
      </c>
      <c r="M5" s="41" t="n">
        <f aca="false">IF(F5=0,0,G5/F5)</f>
        <v>0.43609022556391</v>
      </c>
      <c r="N5" s="41" t="n">
        <f aca="false">IF(D5=0,0,E5/D5)</f>
        <v>0.0707482993197279</v>
      </c>
      <c r="O5" s="54" t="n">
        <f aca="false">IF(F5=0,0,H5/F5)</f>
        <v>0.0962406015037594</v>
      </c>
      <c r="P5" s="40" t="n">
        <f aca="false">IF(B5=0,0,D5/B5)</f>
        <v>3.08823529411765</v>
      </c>
    </row>
    <row r="6" customFormat="false" ht="15" hidden="false" customHeight="false" outlineLevel="0" collapsed="false">
      <c r="A6" s="14" t="s">
        <v>254</v>
      </c>
      <c r="B6" s="9"/>
      <c r="C6" s="9"/>
      <c r="D6" s="9"/>
      <c r="E6" s="9"/>
      <c r="F6" s="10"/>
      <c r="G6" s="10"/>
      <c r="H6" s="10"/>
      <c r="I6" s="11"/>
      <c r="J6" s="11"/>
      <c r="K6" s="40" t="n">
        <f aca="false">IF(B6=0,0,(F6+H6)*1000/B6)</f>
        <v>0</v>
      </c>
      <c r="L6" s="29" t="n">
        <f aca="false">IF(C6=0,0,(I6+J6)/C6)</f>
        <v>0</v>
      </c>
      <c r="M6" s="41" t="n">
        <f aca="false">IF(F6=0,0,G6/F6)</f>
        <v>0</v>
      </c>
      <c r="N6" s="41" t="n">
        <f aca="false">IF(D6=0,0,E6/D6)</f>
        <v>0</v>
      </c>
      <c r="O6" s="54" t="n">
        <f aca="false">IF(F6=0,0,H6/F6)</f>
        <v>0</v>
      </c>
      <c r="P6" s="40" t="n">
        <f aca="false">IF(B6=0,0,D6/B6)</f>
        <v>0</v>
      </c>
    </row>
    <row r="7" customFormat="false" ht="15" hidden="false" customHeight="false" outlineLevel="0" collapsed="false">
      <c r="A7" s="14" t="s">
        <v>255</v>
      </c>
      <c r="B7" s="9"/>
      <c r="C7" s="9"/>
      <c r="D7" s="9"/>
      <c r="E7" s="9"/>
      <c r="F7" s="10"/>
      <c r="G7" s="10"/>
      <c r="H7" s="10"/>
      <c r="I7" s="11"/>
      <c r="J7" s="11"/>
      <c r="K7" s="40" t="n">
        <f aca="false">IF(B7=0,0,(F7+H7)*1000/B7)</f>
        <v>0</v>
      </c>
      <c r="L7" s="29" t="n">
        <f aca="false">IF(C7=0,0,(I7+J7)/C7)</f>
        <v>0</v>
      </c>
      <c r="M7" s="41" t="n">
        <f aca="false">IF(F7=0,0,G7/F7)</f>
        <v>0</v>
      </c>
      <c r="N7" s="41" t="n">
        <f aca="false">IF(D7=0,0,E7/D7)</f>
        <v>0</v>
      </c>
      <c r="O7" s="54" t="n">
        <f aca="false">IF(F7=0,0,H7/F7)</f>
        <v>0</v>
      </c>
      <c r="P7" s="40" t="n">
        <f aca="false">IF(B7=0,0,D7/B7)</f>
        <v>0</v>
      </c>
    </row>
    <row r="8" customFormat="false" ht="15" hidden="false" customHeight="false" outlineLevel="0" collapsed="false">
      <c r="A8" s="14" t="s">
        <v>256</v>
      </c>
      <c r="B8" s="9"/>
      <c r="C8" s="9"/>
      <c r="D8" s="9"/>
      <c r="E8" s="9"/>
      <c r="F8" s="10"/>
      <c r="G8" s="10"/>
      <c r="H8" s="10"/>
      <c r="I8" s="11"/>
      <c r="J8" s="11"/>
      <c r="K8" s="40" t="n">
        <f aca="false">IF(B8=0,0,(F8+H8)*1000/B8)</f>
        <v>0</v>
      </c>
      <c r="L8" s="29" t="n">
        <f aca="false">IF(C8=0,0,(I8+J8)/C8)</f>
        <v>0</v>
      </c>
      <c r="M8" s="41" t="n">
        <f aca="false">IF(F8=0,0,G8/F8)</f>
        <v>0</v>
      </c>
      <c r="N8" s="41" t="n">
        <f aca="false">IF(D8=0,0,E8/D8)</f>
        <v>0</v>
      </c>
      <c r="O8" s="54" t="n">
        <f aca="false">IF(F8=0,0,H8/F8)</f>
        <v>0</v>
      </c>
      <c r="P8" s="40" t="n">
        <f aca="false">IF(B8=0,0,D8/B8)</f>
        <v>0</v>
      </c>
    </row>
    <row r="9" customFormat="false" ht="15" hidden="false" customHeight="false" outlineLevel="0" collapsed="false">
      <c r="A9" s="14" t="s">
        <v>257</v>
      </c>
      <c r="B9" s="9"/>
      <c r="C9" s="9"/>
      <c r="D9" s="9"/>
      <c r="E9" s="9"/>
      <c r="F9" s="10"/>
      <c r="G9" s="10"/>
      <c r="H9" s="10"/>
      <c r="I9" s="11"/>
      <c r="J9" s="11"/>
      <c r="K9" s="40" t="n">
        <f aca="false">IF(B9=0,0,(F9+H9)*1000/B9)</f>
        <v>0</v>
      </c>
      <c r="L9" s="29" t="n">
        <f aca="false">IF(C9=0,0,(I9+J9)/C9)</f>
        <v>0</v>
      </c>
      <c r="M9" s="41" t="n">
        <f aca="false">IF(F9=0,0,G9/F9)</f>
        <v>0</v>
      </c>
      <c r="N9" s="41" t="n">
        <f aca="false">IF(D9=0,0,E9/D9)</f>
        <v>0</v>
      </c>
      <c r="O9" s="54" t="n">
        <f aca="false">IF(F9=0,0,H9/F9)</f>
        <v>0</v>
      </c>
      <c r="P9" s="40" t="n">
        <f aca="false">IF(B9=0,0,D9/B9)</f>
        <v>0</v>
      </c>
    </row>
    <row r="10" customFormat="false" ht="15" hidden="false" customHeight="false" outlineLevel="0" collapsed="false">
      <c r="A10" s="14" t="s">
        <v>258</v>
      </c>
      <c r="B10" s="9"/>
      <c r="C10" s="9"/>
      <c r="D10" s="9"/>
      <c r="E10" s="9"/>
      <c r="F10" s="10"/>
      <c r="G10" s="10"/>
      <c r="H10" s="10"/>
      <c r="I10" s="11"/>
      <c r="J10" s="11"/>
      <c r="K10" s="40" t="n">
        <f aca="false">IF(B10=0,0,(F10+H10)*1000/B10)</f>
        <v>0</v>
      </c>
      <c r="L10" s="29" t="n">
        <f aca="false">IF(C10=0,0,(I10+J10)/C10)</f>
        <v>0</v>
      </c>
      <c r="M10" s="41" t="n">
        <f aca="false">IF(F10=0,0,G10/F10)</f>
        <v>0</v>
      </c>
      <c r="N10" s="41" t="n">
        <f aca="false">IF(D10=0,0,E10/D10)</f>
        <v>0</v>
      </c>
      <c r="O10" s="54" t="n">
        <f aca="false">IF(F10=0,0,H10/F10)</f>
        <v>0</v>
      </c>
      <c r="P10" s="40" t="n">
        <f aca="false">IF(B10=0,0,D10/B10)</f>
        <v>0</v>
      </c>
    </row>
    <row r="11" customFormat="false" ht="15" hidden="false" customHeight="false" outlineLevel="0" collapsed="false">
      <c r="A11" s="14" t="s">
        <v>259</v>
      </c>
      <c r="B11" s="9"/>
      <c r="C11" s="9"/>
      <c r="D11" s="9"/>
      <c r="E11" s="9"/>
      <c r="F11" s="10"/>
      <c r="G11" s="10"/>
      <c r="H11" s="10"/>
      <c r="I11" s="11"/>
      <c r="J11" s="11"/>
      <c r="K11" s="40" t="n">
        <f aca="false">IF(B11=0,0,(F11+H11)*1000/B11)</f>
        <v>0</v>
      </c>
      <c r="L11" s="29" t="n">
        <f aca="false">IF(C11=0,0,(I11+J11)/C11)</f>
        <v>0</v>
      </c>
      <c r="M11" s="41" t="n">
        <f aca="false">IF(F11=0,0,G11/F11)</f>
        <v>0</v>
      </c>
      <c r="N11" s="41" t="n">
        <f aca="false">IF(D11=0,0,E11/D11)</f>
        <v>0</v>
      </c>
      <c r="O11" s="54" t="n">
        <f aca="false">IF(F11=0,0,H11/F11)</f>
        <v>0</v>
      </c>
      <c r="P11" s="40" t="n">
        <f aca="false">IF(B11=0,0,D11/B11)</f>
        <v>0</v>
      </c>
    </row>
    <row r="12" customFormat="false" ht="15" hidden="false" customHeight="false" outlineLevel="0" collapsed="false">
      <c r="A12" s="14" t="s">
        <v>260</v>
      </c>
      <c r="B12" s="9"/>
      <c r="C12" s="9"/>
      <c r="D12" s="9"/>
      <c r="E12" s="9"/>
      <c r="F12" s="10"/>
      <c r="G12" s="10"/>
      <c r="H12" s="10"/>
      <c r="I12" s="11"/>
      <c r="J12" s="11"/>
      <c r="K12" s="40" t="n">
        <f aca="false">IF(B12=0,0,(F12+H12)*1000/B12)</f>
        <v>0</v>
      </c>
      <c r="L12" s="29" t="n">
        <f aca="false">IF(C12=0,0,(I12+J12)/C12)</f>
        <v>0</v>
      </c>
      <c r="M12" s="41" t="n">
        <f aca="false">IF(F12=0,0,G12/F12)</f>
        <v>0</v>
      </c>
      <c r="N12" s="41" t="n">
        <f aca="false">IF(D12=0,0,E12/D12)</f>
        <v>0</v>
      </c>
      <c r="O12" s="54" t="n">
        <f aca="false">IF(F12=0,0,H12/F12)</f>
        <v>0</v>
      </c>
      <c r="P12" s="40" t="n">
        <f aca="false">IF(B12=0,0,D12/B12)</f>
        <v>0</v>
      </c>
    </row>
    <row r="13" customFormat="false" ht="15" hidden="false" customHeight="false" outlineLevel="0" collapsed="false">
      <c r="A13" s="14" t="s">
        <v>261</v>
      </c>
      <c r="B13" s="9"/>
      <c r="C13" s="9"/>
      <c r="D13" s="9"/>
      <c r="E13" s="9"/>
      <c r="F13" s="10"/>
      <c r="G13" s="10"/>
      <c r="H13" s="10"/>
      <c r="I13" s="11"/>
      <c r="J13" s="11"/>
      <c r="K13" s="40" t="n">
        <f aca="false">IF(B13=0,0,(F13+H13)*1000/B13)</f>
        <v>0</v>
      </c>
      <c r="L13" s="29" t="n">
        <f aca="false">IF(C13=0,0,(I13+J13)/C13)</f>
        <v>0</v>
      </c>
      <c r="M13" s="41" t="n">
        <f aca="false">IF(F13=0,0,G13/F13)</f>
        <v>0</v>
      </c>
      <c r="N13" s="41" t="n">
        <f aca="false">IF(D13=0,0,E13/D13)</f>
        <v>0</v>
      </c>
      <c r="O13" s="54" t="n">
        <f aca="false">IF(F13=0,0,H13/F13)</f>
        <v>0</v>
      </c>
      <c r="P13" s="40" t="n">
        <f aca="false">IF(B13=0,0,D13/B13)</f>
        <v>0</v>
      </c>
    </row>
    <row r="14" customFormat="false" ht="15" hidden="false" customHeight="false" outlineLevel="0" collapsed="false">
      <c r="A14" s="14" t="s">
        <v>262</v>
      </c>
      <c r="B14" s="9"/>
      <c r="C14" s="9"/>
      <c r="D14" s="9"/>
      <c r="E14" s="9"/>
      <c r="F14" s="10"/>
      <c r="G14" s="10"/>
      <c r="H14" s="10"/>
      <c r="I14" s="11"/>
      <c r="J14" s="11"/>
      <c r="K14" s="40" t="n">
        <f aca="false">IF(B14=0,0,(F14+H14)*1000/B14)</f>
        <v>0</v>
      </c>
      <c r="L14" s="29" t="n">
        <f aca="false">IF(C14=0,0,(I14+J14)/C14)</f>
        <v>0</v>
      </c>
      <c r="M14" s="41" t="n">
        <f aca="false">IF(F14=0,0,G14/F14)</f>
        <v>0</v>
      </c>
      <c r="N14" s="41" t="n">
        <f aca="false">IF(D14=0,0,E14/D14)</f>
        <v>0</v>
      </c>
      <c r="O14" s="54" t="n">
        <f aca="false">IF(F14=0,0,H14/F14)</f>
        <v>0</v>
      </c>
      <c r="P14" s="40" t="n">
        <f aca="false">IF(B14=0,0,D14/B14)</f>
        <v>0</v>
      </c>
    </row>
    <row r="15" customFormat="false" ht="15" hidden="false" customHeight="false" outlineLevel="0" collapsed="false">
      <c r="A15" s="14" t="s">
        <v>263</v>
      </c>
      <c r="B15" s="9"/>
      <c r="C15" s="9"/>
      <c r="D15" s="9"/>
      <c r="E15" s="9"/>
      <c r="F15" s="10"/>
      <c r="G15" s="10"/>
      <c r="H15" s="10"/>
      <c r="I15" s="11"/>
      <c r="J15" s="11"/>
      <c r="K15" s="40" t="n">
        <f aca="false">IF(B15=0,0,(F15+H15)*1000/B15)</f>
        <v>0</v>
      </c>
      <c r="L15" s="29" t="n">
        <f aca="false">IF(C15=0,0,(I15+J15)/C15)</f>
        <v>0</v>
      </c>
      <c r="M15" s="41" t="n">
        <f aca="false">IF(F15=0,0,G15/F15)</f>
        <v>0</v>
      </c>
      <c r="N15" s="41" t="n">
        <f aca="false">IF(D15=0,0,E15/D15)</f>
        <v>0</v>
      </c>
      <c r="O15" s="54" t="n">
        <f aca="false">IF(F15=0,0,H15/F15)</f>
        <v>0</v>
      </c>
      <c r="P15" s="40" t="n">
        <f aca="false">IF(B15=0,0,D15/B15)</f>
        <v>0</v>
      </c>
    </row>
    <row r="16" customFormat="false" ht="15" hidden="false" customHeight="false" outlineLevel="0" collapsed="false">
      <c r="A16" s="14" t="s">
        <v>264</v>
      </c>
      <c r="B16" s="9"/>
      <c r="C16" s="9"/>
      <c r="D16" s="9"/>
      <c r="E16" s="9"/>
      <c r="F16" s="10"/>
      <c r="G16" s="10"/>
      <c r="H16" s="10"/>
      <c r="I16" s="11"/>
      <c r="J16" s="11"/>
      <c r="K16" s="40" t="n">
        <f aca="false">IF(B16=0,0,(F16+H16)*1000/B16)</f>
        <v>0</v>
      </c>
      <c r="L16" s="29" t="n">
        <f aca="false">IF(C16=0,0,(I16+J16)/C16)</f>
        <v>0</v>
      </c>
      <c r="M16" s="41" t="n">
        <f aca="false">IF(F16=0,0,G16/F16)</f>
        <v>0</v>
      </c>
      <c r="N16" s="41" t="n">
        <f aca="false">IF(D16=0,0,E16/D16)</f>
        <v>0</v>
      </c>
      <c r="O16" s="54" t="n">
        <f aca="false">IF(F16=0,0,H16/F16)</f>
        <v>0</v>
      </c>
      <c r="P16" s="40" t="n">
        <f aca="false">IF(B16=0,0,D16/B16)</f>
        <v>0</v>
      </c>
    </row>
    <row r="18" customFormat="false" ht="15" hidden="false" customHeight="false" outlineLevel="0" collapsed="false">
      <c r="A18" s="2" t="s">
        <v>265</v>
      </c>
    </row>
  </sheetData>
  <printOptions headings="false" gridLines="false" gridLinesSet="true" horizontalCentered="false" verticalCentered="false"/>
  <pageMargins left="0.75" right="0.75" top="1" bottom="1" header="0.511811023622047" footer="0.5"/>
  <pageSetup paperSize="9" scale="100" fitToWidth="1" fitToHeight="1" pageOrder="downThenOver" orientation="portrait" blackAndWhite="false" draft="false" cellComments="none" horizontalDpi="300" verticalDpi="300" copies="1"/>
  <headerFooter differentFirst="false" differentOddEven="false">
    <oddHeader/>
    <oddFooter>&amp;L&amp;8 AI Daily by Nikhil Nan&amp;C&amp;8 &amp;A&amp;R&amp;8 CC BY 4.0 · Version 1.0</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213D"/>
    <pageSetUpPr fitToPage="true"/>
  </sheetPr>
  <dimension ref="B1:C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3" min="3" style="0" width="100"/>
  </cols>
  <sheetData>
    <row r="1" customFormat="false" ht="54" hidden="false" customHeight="true" outlineLevel="0" collapsed="false"/>
    <row r="3" customFormat="false" ht="22.05" hidden="false" customHeight="false" outlineLevel="0" collapsed="false">
      <c r="B3" s="1" t="s">
        <v>266</v>
      </c>
    </row>
    <row r="4" customFormat="false" ht="15" hidden="false" customHeight="false" outlineLevel="0" collapsed="false">
      <c r="B4" s="55" t="s">
        <v>3</v>
      </c>
    </row>
    <row r="6" customFormat="false" ht="36" hidden="false" customHeight="true" outlineLevel="0" collapsed="false">
      <c r="B6" s="31" t="s">
        <v>267</v>
      </c>
      <c r="C6" s="32" t="s">
        <v>268</v>
      </c>
    </row>
    <row r="7" customFormat="false" ht="36" hidden="false" customHeight="true" outlineLevel="0" collapsed="false">
      <c r="B7" s="31" t="s">
        <v>65</v>
      </c>
      <c r="C7" s="32" t="s">
        <v>269</v>
      </c>
    </row>
    <row r="8" customFormat="false" ht="36" hidden="false" customHeight="true" outlineLevel="0" collapsed="false">
      <c r="B8" s="31" t="s">
        <v>270</v>
      </c>
      <c r="C8" s="32" t="s">
        <v>271</v>
      </c>
    </row>
    <row r="9" customFormat="false" ht="18" hidden="false" customHeight="true" outlineLevel="0" collapsed="false">
      <c r="B9" s="31" t="s">
        <v>272</v>
      </c>
      <c r="C9" s="32" t="s">
        <v>273</v>
      </c>
    </row>
    <row r="10" customFormat="false" ht="18" hidden="false" customHeight="true" outlineLevel="0" collapsed="false">
      <c r="B10" s="31" t="s">
        <v>274</v>
      </c>
      <c r="C10" s="32" t="s">
        <v>275</v>
      </c>
    </row>
    <row r="11" customFormat="false" ht="66" hidden="false" customHeight="true" outlineLevel="0" collapsed="false">
      <c r="B11" s="31" t="s">
        <v>276</v>
      </c>
      <c r="C11" s="32" t="s">
        <v>277</v>
      </c>
    </row>
    <row r="12" customFormat="false" ht="36" hidden="false" customHeight="true" outlineLevel="0" collapsed="false">
      <c r="B12" s="31" t="s">
        <v>278</v>
      </c>
      <c r="C12" s="32" t="s">
        <v>279</v>
      </c>
    </row>
    <row r="13" customFormat="false" ht="36" hidden="false" customHeight="true" outlineLevel="0" collapsed="false">
      <c r="B13" s="31" t="s">
        <v>280</v>
      </c>
      <c r="C13" s="32" t="s">
        <v>281</v>
      </c>
    </row>
    <row r="14" customFormat="false" ht="66" hidden="false" customHeight="true" outlineLevel="0" collapsed="false">
      <c r="B14" s="31" t="s">
        <v>282</v>
      </c>
      <c r="C14" s="32" t="s">
        <v>283</v>
      </c>
    </row>
    <row r="15" customFormat="false" ht="36" hidden="false" customHeight="true" outlineLevel="0" collapsed="false">
      <c r="B15" s="31" t="s">
        <v>284</v>
      </c>
      <c r="C15" s="32" t="s">
        <v>285</v>
      </c>
    </row>
  </sheetData>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AI Daily by Nikhil Nan&amp;C&amp;8 &amp;A&amp;R&amp;8 CC BY 4.0 · Version 1.0</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2026-10-28T14:02:56Z</dcterms:created>
  <dc:creator>Nikhil Nan</dc:creator>
  <dc:description>AI Daily by Nikhil Nan. Version 1.0 · October 2026. CC BY 4.0. Illustrative model; see About tab.</dc:description>
  <cp:keywords>GenAI token economics AI cost procurement FinOps</cp:keywords>
  <dc:language>en-US</dc:language>
  <cp:lastModifiedBy>Nikhil Nan</cp:lastModifiedBy>
  <dcterms:modified xsi:type="dcterms:W3CDTF">2026-10-28T14:02:56Z</dcterms:modified>
  <cp:revision>0</cp:revision>
  <dc:subject>Cost per successful task and net value of GenAI use cases</dc:subject>
  <dc:title>GenAI Token Economics Model</dc:title>
</cp:coreProperties>
</file>

<file path=docProps/custom.xml><?xml version="1.0" encoding="utf-8"?>
<Properties xmlns="http://schemas.openxmlformats.org/officeDocument/2006/custom-properties" xmlns:vt="http://schemas.openxmlformats.org/officeDocument/2006/docPropsVTypes"/>
</file>